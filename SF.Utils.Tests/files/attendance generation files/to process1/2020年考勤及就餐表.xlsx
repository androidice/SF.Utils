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30" windowWidth="20415" windowHeight="7770" firstSheet="1" activeTab="6"/>
  </bookViews>
  <sheets>
    <sheet name="20-1(派遣）" sheetId="1" r:id="rId1"/>
    <sheet name="20-1（机电）" sheetId="2" r:id="rId2"/>
    <sheet name="20-2（派遣）" sheetId="3" r:id="rId3"/>
    <sheet name="20-2(机电）" sheetId="4" r:id="rId4"/>
    <sheet name="20-3(派遣）" sheetId="5" r:id="rId5"/>
    <sheet name="20-3（机电）" sheetId="6" r:id="rId6"/>
    <sheet name="20-4（派遣）" sheetId="7" r:id="rId7"/>
    <sheet name="20-4（机电）" sheetId="8" r:id="rId8"/>
  </sheets>
  <calcPr calcId="124519"/>
</workbook>
</file>

<file path=xl/calcChain.xml><?xml version="1.0" encoding="utf-8"?>
<calcChain xmlns="http://schemas.openxmlformats.org/spreadsheetml/2006/main">
  <c r="N138" i="8"/>
  <c r="J138"/>
  <c r="L180"/>
  <c r="M180"/>
  <c r="K54" i="7"/>
  <c r="N179" i="8" l="1"/>
  <c r="M179"/>
  <c r="L179"/>
  <c r="J179"/>
  <c r="N167"/>
  <c r="J167"/>
  <c r="M7" i="7"/>
  <c r="N7"/>
  <c r="O7" s="1"/>
  <c r="L175" i="8"/>
  <c r="M175"/>
  <c r="L165"/>
  <c r="M165"/>
  <c r="L173"/>
  <c r="M173"/>
  <c r="N158" l="1"/>
  <c r="J158"/>
  <c r="M153"/>
  <c r="L153"/>
  <c r="N153" s="1"/>
  <c r="J153"/>
  <c r="L156"/>
  <c r="M156"/>
  <c r="M142"/>
  <c r="L142"/>
  <c r="J142"/>
  <c r="K174" i="7"/>
  <c r="L149" i="8"/>
  <c r="M149"/>
  <c r="M163"/>
  <c r="L163"/>
  <c r="N163" s="1"/>
  <c r="J163"/>
  <c r="L96"/>
  <c r="M96"/>
  <c r="N96" s="1"/>
  <c r="J96"/>
  <c r="N69"/>
  <c r="M69"/>
  <c r="L69"/>
  <c r="J69"/>
  <c r="M90"/>
  <c r="L90"/>
  <c r="L94"/>
  <c r="M94"/>
  <c r="N74"/>
  <c r="J74"/>
  <c r="N72"/>
  <c r="J72"/>
  <c r="L99"/>
  <c r="M99"/>
  <c r="M67"/>
  <c r="L67"/>
  <c r="N85"/>
  <c r="J85"/>
  <c r="M100"/>
  <c r="L100"/>
  <c r="M95"/>
  <c r="L95"/>
  <c r="M93"/>
  <c r="L93"/>
  <c r="M148"/>
  <c r="L148"/>
  <c r="N148"/>
  <c r="J148"/>
  <c r="M186" i="7"/>
  <c r="N186"/>
  <c r="K148"/>
  <c r="M148"/>
  <c r="N148"/>
  <c r="K56"/>
  <c r="M56"/>
  <c r="O56" s="1"/>
  <c r="N56"/>
  <c r="K55"/>
  <c r="M55"/>
  <c r="N55"/>
  <c r="K57"/>
  <c r="M57"/>
  <c r="N57"/>
  <c r="O57" s="1"/>
  <c r="K10"/>
  <c r="M10"/>
  <c r="N10"/>
  <c r="K11"/>
  <c r="K12"/>
  <c r="M12"/>
  <c r="N12"/>
  <c r="K13"/>
  <c r="M13"/>
  <c r="N13"/>
  <c r="K14"/>
  <c r="M14"/>
  <c r="N14"/>
  <c r="K15"/>
  <c r="M15"/>
  <c r="N15"/>
  <c r="K16"/>
  <c r="M16"/>
  <c r="N16"/>
  <c r="K17"/>
  <c r="M17"/>
  <c r="N17"/>
  <c r="K18"/>
  <c r="M18"/>
  <c r="N18"/>
  <c r="K19"/>
  <c r="M19"/>
  <c r="N19"/>
  <c r="K22"/>
  <c r="M22"/>
  <c r="N22"/>
  <c r="K23"/>
  <c r="M23"/>
  <c r="N23"/>
  <c r="K24"/>
  <c r="M24"/>
  <c r="N24"/>
  <c r="K25"/>
  <c r="M25"/>
  <c r="N25"/>
  <c r="K26"/>
  <c r="M26"/>
  <c r="N26"/>
  <c r="K27"/>
  <c r="M27"/>
  <c r="N27"/>
  <c r="K29"/>
  <c r="M29"/>
  <c r="N29"/>
  <c r="K30"/>
  <c r="M30"/>
  <c r="N30"/>
  <c r="K31"/>
  <c r="M31"/>
  <c r="N31"/>
  <c r="K32"/>
  <c r="K33"/>
  <c r="M33"/>
  <c r="N33"/>
  <c r="K35"/>
  <c r="M35"/>
  <c r="N35"/>
  <c r="K36"/>
  <c r="M36"/>
  <c r="N36"/>
  <c r="K37"/>
  <c r="K39"/>
  <c r="M39"/>
  <c r="N39"/>
  <c r="K40"/>
  <c r="K41"/>
  <c r="M41"/>
  <c r="N41"/>
  <c r="K42"/>
  <c r="M42"/>
  <c r="N42"/>
  <c r="K43"/>
  <c r="K44"/>
  <c r="K45"/>
  <c r="M45"/>
  <c r="N45"/>
  <c r="K46"/>
  <c r="M46"/>
  <c r="N46"/>
  <c r="K47"/>
  <c r="K48"/>
  <c r="M48"/>
  <c r="N48"/>
  <c r="K49"/>
  <c r="K50"/>
  <c r="K51"/>
  <c r="K52"/>
  <c r="M52"/>
  <c r="N52"/>
  <c r="K53"/>
  <c r="M53"/>
  <c r="N53"/>
  <c r="M54"/>
  <c r="N54"/>
  <c r="K58"/>
  <c r="M58"/>
  <c r="N58"/>
  <c r="K59"/>
  <c r="M59"/>
  <c r="N59"/>
  <c r="K60"/>
  <c r="M60"/>
  <c r="N60"/>
  <c r="K61"/>
  <c r="M61"/>
  <c r="N61"/>
  <c r="K62"/>
  <c r="K63"/>
  <c r="M63"/>
  <c r="N63"/>
  <c r="K64"/>
  <c r="M64"/>
  <c r="N64"/>
  <c r="K65"/>
  <c r="M65"/>
  <c r="N65"/>
  <c r="K66"/>
  <c r="M66"/>
  <c r="N66"/>
  <c r="K68"/>
  <c r="M68"/>
  <c r="N68"/>
  <c r="K69"/>
  <c r="M69"/>
  <c r="N69"/>
  <c r="K71"/>
  <c r="M71"/>
  <c r="N71"/>
  <c r="K72"/>
  <c r="M72"/>
  <c r="N72"/>
  <c r="K73"/>
  <c r="M73"/>
  <c r="N73"/>
  <c r="K74"/>
  <c r="M74"/>
  <c r="N74"/>
  <c r="K75"/>
  <c r="M75"/>
  <c r="N75"/>
  <c r="K76"/>
  <c r="M76"/>
  <c r="N76"/>
  <c r="K77"/>
  <c r="M77"/>
  <c r="N77"/>
  <c r="K78"/>
  <c r="M78"/>
  <c r="N78"/>
  <c r="K79"/>
  <c r="M79"/>
  <c r="N79"/>
  <c r="K80"/>
  <c r="O80" s="1"/>
  <c r="M80"/>
  <c r="N80"/>
  <c r="K81"/>
  <c r="M81"/>
  <c r="N81"/>
  <c r="K82"/>
  <c r="O82" s="1"/>
  <c r="M82"/>
  <c r="N82"/>
  <c r="K84"/>
  <c r="M84"/>
  <c r="N84"/>
  <c r="K85"/>
  <c r="O85" s="1"/>
  <c r="M85"/>
  <c r="N85"/>
  <c r="K86"/>
  <c r="O86" s="1"/>
  <c r="K88"/>
  <c r="M88"/>
  <c r="N88"/>
  <c r="K89"/>
  <c r="M89"/>
  <c r="N89"/>
  <c r="K90"/>
  <c r="O90" s="1"/>
  <c r="M90"/>
  <c r="N90"/>
  <c r="K91"/>
  <c r="M91"/>
  <c r="N91"/>
  <c r="K92"/>
  <c r="M92"/>
  <c r="N92"/>
  <c r="K93"/>
  <c r="O93" s="1"/>
  <c r="M93"/>
  <c r="N93"/>
  <c r="K94"/>
  <c r="O94" s="1"/>
  <c r="K95"/>
  <c r="M95"/>
  <c r="N95"/>
  <c r="K96"/>
  <c r="M96"/>
  <c r="N96"/>
  <c r="K97"/>
  <c r="O97" s="1"/>
  <c r="K98"/>
  <c r="O98" s="1"/>
  <c r="M98"/>
  <c r="N98"/>
  <c r="K99"/>
  <c r="O99" s="1"/>
  <c r="K101"/>
  <c r="M101"/>
  <c r="N101"/>
  <c r="K103"/>
  <c r="M103"/>
  <c r="N103"/>
  <c r="K105"/>
  <c r="M105"/>
  <c r="N105"/>
  <c r="K106"/>
  <c r="O106" s="1"/>
  <c r="M106"/>
  <c r="N106"/>
  <c r="K107"/>
  <c r="M107"/>
  <c r="N107"/>
  <c r="K108"/>
  <c r="O108" s="1"/>
  <c r="K109"/>
  <c r="M109"/>
  <c r="N109"/>
  <c r="K110"/>
  <c r="M110"/>
  <c r="N110"/>
  <c r="K111"/>
  <c r="O111" s="1"/>
  <c r="M111"/>
  <c r="N111"/>
  <c r="K112"/>
  <c r="M112"/>
  <c r="N112"/>
  <c r="K113"/>
  <c r="O113" s="1"/>
  <c r="M113"/>
  <c r="N113"/>
  <c r="K115"/>
  <c r="M115"/>
  <c r="N115"/>
  <c r="K117"/>
  <c r="O117" s="1"/>
  <c r="K118"/>
  <c r="O118" s="1"/>
  <c r="M118"/>
  <c r="N118"/>
  <c r="K119"/>
  <c r="O119" s="1"/>
  <c r="K120"/>
  <c r="M120"/>
  <c r="N120"/>
  <c r="K121"/>
  <c r="O121" s="1"/>
  <c r="K122"/>
  <c r="M122"/>
  <c r="N122"/>
  <c r="K123"/>
  <c r="M123"/>
  <c r="N123"/>
  <c r="K124"/>
  <c r="M124"/>
  <c r="N124"/>
  <c r="K126"/>
  <c r="O126" s="1"/>
  <c r="M126"/>
  <c r="N126"/>
  <c r="K127"/>
  <c r="M127"/>
  <c r="N127"/>
  <c r="K128"/>
  <c r="O128" s="1"/>
  <c r="M128"/>
  <c r="N128"/>
  <c r="K129"/>
  <c r="O129" s="1"/>
  <c r="K130"/>
  <c r="O130" s="1"/>
  <c r="M130"/>
  <c r="N130"/>
  <c r="K131"/>
  <c r="O131" s="1"/>
  <c r="K132"/>
  <c r="M132"/>
  <c r="N132"/>
  <c r="K133"/>
  <c r="O133" s="1"/>
  <c r="K134"/>
  <c r="M134"/>
  <c r="N134"/>
  <c r="K135"/>
  <c r="M135"/>
  <c r="N135"/>
  <c r="K137"/>
  <c r="O137" s="1"/>
  <c r="M137"/>
  <c r="N137"/>
  <c r="K139"/>
  <c r="O139" s="1"/>
  <c r="K140"/>
  <c r="M140"/>
  <c r="N140"/>
  <c r="K143"/>
  <c r="O143" s="1"/>
  <c r="M143"/>
  <c r="N143"/>
  <c r="K144"/>
  <c r="O144" s="1"/>
  <c r="K145"/>
  <c r="O145" s="1"/>
  <c r="M145"/>
  <c r="N145"/>
  <c r="K146"/>
  <c r="M146"/>
  <c r="N146"/>
  <c r="O146"/>
  <c r="K147"/>
  <c r="O147" s="1"/>
  <c r="M147"/>
  <c r="N147"/>
  <c r="K149"/>
  <c r="M149"/>
  <c r="N149"/>
  <c r="K150"/>
  <c r="M150"/>
  <c r="N150"/>
  <c r="O150" s="1"/>
  <c r="K151"/>
  <c r="M151"/>
  <c r="N151"/>
  <c r="O151" s="1"/>
  <c r="K152"/>
  <c r="O152" s="1"/>
  <c r="M152"/>
  <c r="N152"/>
  <c r="K153"/>
  <c r="O153" s="1"/>
  <c r="K154"/>
  <c r="M154"/>
  <c r="N154"/>
  <c r="O154" s="1"/>
  <c r="K155"/>
  <c r="O155"/>
  <c r="K156"/>
  <c r="M156"/>
  <c r="N156"/>
  <c r="K157"/>
  <c r="M157"/>
  <c r="N157"/>
  <c r="O157"/>
  <c r="K158"/>
  <c r="M158"/>
  <c r="N158"/>
  <c r="O158"/>
  <c r="K159"/>
  <c r="O159" s="1"/>
  <c r="K160"/>
  <c r="O160" s="1"/>
  <c r="K161"/>
  <c r="M161"/>
  <c r="N161"/>
  <c r="O161"/>
  <c r="K162"/>
  <c r="M162"/>
  <c r="N162"/>
  <c r="O162" s="1"/>
  <c r="K163"/>
  <c r="M163"/>
  <c r="N163"/>
  <c r="K164"/>
  <c r="O164"/>
  <c r="K165"/>
  <c r="M165"/>
  <c r="N165"/>
  <c r="O165" s="1"/>
  <c r="K166"/>
  <c r="O166" s="1"/>
  <c r="M166"/>
  <c r="N166"/>
  <c r="K167"/>
  <c r="M167"/>
  <c r="N167"/>
  <c r="O167" s="1"/>
  <c r="K168"/>
  <c r="M168"/>
  <c r="N168"/>
  <c r="K169"/>
  <c r="O169" s="1"/>
  <c r="K170"/>
  <c r="O170" s="1"/>
  <c r="M170"/>
  <c r="N170"/>
  <c r="K172"/>
  <c r="M172"/>
  <c r="N172"/>
  <c r="O172" s="1"/>
  <c r="M174"/>
  <c r="N174"/>
  <c r="K176"/>
  <c r="M176"/>
  <c r="N176"/>
  <c r="O176"/>
  <c r="K177"/>
  <c r="O177" s="1"/>
  <c r="M177"/>
  <c r="N177"/>
  <c r="K178"/>
  <c r="M178"/>
  <c r="N178"/>
  <c r="K179"/>
  <c r="M179"/>
  <c r="N179"/>
  <c r="K180"/>
  <c r="M180"/>
  <c r="N180"/>
  <c r="K181"/>
  <c r="M181"/>
  <c r="N181"/>
  <c r="O181" s="1"/>
  <c r="K182"/>
  <c r="M182"/>
  <c r="O182" s="1"/>
  <c r="N182"/>
  <c r="K183"/>
  <c r="O183" s="1"/>
  <c r="M183"/>
  <c r="N183"/>
  <c r="J180" i="8"/>
  <c r="N180" s="1"/>
  <c r="J178"/>
  <c r="N178" s="1"/>
  <c r="M177"/>
  <c r="L177"/>
  <c r="J177"/>
  <c r="M176"/>
  <c r="L176"/>
  <c r="J176"/>
  <c r="J175"/>
  <c r="N175" s="1"/>
  <c r="M174"/>
  <c r="L174"/>
  <c r="J174"/>
  <c r="J173"/>
  <c r="N173" s="1"/>
  <c r="J172"/>
  <c r="N172" s="1"/>
  <c r="J170"/>
  <c r="N170" s="1"/>
  <c r="M169"/>
  <c r="L169"/>
  <c r="J169"/>
  <c r="J168"/>
  <c r="N168" s="1"/>
  <c r="M166"/>
  <c r="L166"/>
  <c r="J166"/>
  <c r="N165"/>
  <c r="J162"/>
  <c r="N162" s="1"/>
  <c r="J161"/>
  <c r="N161" s="1"/>
  <c r="J160"/>
  <c r="N160" s="1"/>
  <c r="J157"/>
  <c r="N157" s="1"/>
  <c r="J156"/>
  <c r="M155"/>
  <c r="L155"/>
  <c r="J155"/>
  <c r="J152"/>
  <c r="N152" s="1"/>
  <c r="J149"/>
  <c r="J141"/>
  <c r="N141" s="1"/>
  <c r="J101"/>
  <c r="N101" s="1"/>
  <c r="J100"/>
  <c r="N100" s="1"/>
  <c r="J95"/>
  <c r="N95" s="1"/>
  <c r="J94"/>
  <c r="J93"/>
  <c r="N93" s="1"/>
  <c r="J91"/>
  <c r="N91" s="1"/>
  <c r="J90"/>
  <c r="M87"/>
  <c r="L87"/>
  <c r="J87"/>
  <c r="J76"/>
  <c r="N76" s="1"/>
  <c r="J71"/>
  <c r="N71" s="1"/>
  <c r="J67"/>
  <c r="N8" i="7"/>
  <c r="M8"/>
  <c r="K8"/>
  <c r="L177" i="6"/>
  <c r="M177"/>
  <c r="J177"/>
  <c r="N177" s="1"/>
  <c r="N178"/>
  <c r="M178"/>
  <c r="L178"/>
  <c r="J178"/>
  <c r="N167"/>
  <c r="M167"/>
  <c r="L167"/>
  <c r="J167"/>
  <c r="N179"/>
  <c r="J179"/>
  <c r="N171"/>
  <c r="J171"/>
  <c r="M175"/>
  <c r="L175"/>
  <c r="J176"/>
  <c r="N176" s="1"/>
  <c r="N166"/>
  <c r="J166"/>
  <c r="J174"/>
  <c r="N174" s="1"/>
  <c r="N170"/>
  <c r="M170"/>
  <c r="L170"/>
  <c r="J170"/>
  <c r="O134" i="5"/>
  <c r="K134"/>
  <c r="O55" i="7" l="1"/>
  <c r="N174" i="8"/>
  <c r="O148" i="7"/>
  <c r="O75"/>
  <c r="O112"/>
  <c r="O140"/>
  <c r="O127"/>
  <c r="O120"/>
  <c r="O134"/>
  <c r="O105"/>
  <c r="O135"/>
  <c r="O132"/>
  <c r="O122"/>
  <c r="O123"/>
  <c r="O124"/>
  <c r="O107"/>
  <c r="O78"/>
  <c r="O91"/>
  <c r="O101"/>
  <c r="O81"/>
  <c r="O88"/>
  <c r="O77"/>
  <c r="O79"/>
  <c r="O109"/>
  <c r="O92"/>
  <c r="O84"/>
  <c r="O110"/>
  <c r="O76"/>
  <c r="O96"/>
  <c r="N156" i="8"/>
  <c r="O115" i="7"/>
  <c r="O95"/>
  <c r="O89"/>
  <c r="O103"/>
  <c r="O186"/>
  <c r="O180"/>
  <c r="O179"/>
  <c r="N142" i="8"/>
  <c r="O156" i="7"/>
  <c r="O178"/>
  <c r="O168"/>
  <c r="O163"/>
  <c r="O174"/>
  <c r="N149" i="8"/>
  <c r="O149" i="7"/>
  <c r="N90" i="8"/>
  <c r="N94"/>
  <c r="N99"/>
  <c r="N67"/>
  <c r="O73" i="7"/>
  <c r="O69"/>
  <c r="O65"/>
  <c r="O61"/>
  <c r="O54"/>
  <c r="O50"/>
  <c r="O46"/>
  <c r="O42"/>
  <c r="O30"/>
  <c r="O26"/>
  <c r="O22"/>
  <c r="O18"/>
  <c r="O14"/>
  <c r="O74"/>
  <c r="O66"/>
  <c r="O62"/>
  <c r="O58"/>
  <c r="O51"/>
  <c r="O47"/>
  <c r="O43"/>
  <c r="O39"/>
  <c r="O35"/>
  <c r="O31"/>
  <c r="O27"/>
  <c r="O23"/>
  <c r="O19"/>
  <c r="O15"/>
  <c r="O12"/>
  <c r="O72"/>
  <c r="O68"/>
  <c r="O64"/>
  <c r="O60"/>
  <c r="O53"/>
  <c r="O49"/>
  <c r="O45"/>
  <c r="O41"/>
  <c r="O37"/>
  <c r="O33"/>
  <c r="O29"/>
  <c r="O25"/>
  <c r="O17"/>
  <c r="O13"/>
  <c r="O11"/>
  <c r="O71"/>
  <c r="O63"/>
  <c r="O59"/>
  <c r="O52"/>
  <c r="O48"/>
  <c r="O44"/>
  <c r="O40"/>
  <c r="O36"/>
  <c r="O32"/>
  <c r="O24"/>
  <c r="O16"/>
  <c r="O10"/>
  <c r="N166" i="8"/>
  <c r="N177"/>
  <c r="N169"/>
  <c r="N87"/>
  <c r="N155"/>
  <c r="N176"/>
  <c r="O8" i="7"/>
  <c r="K111" i="5"/>
  <c r="O111" s="1"/>
  <c r="K84"/>
  <c r="O84" s="1"/>
  <c r="N157" i="6"/>
  <c r="J157"/>
  <c r="J136"/>
  <c r="N136" s="1"/>
  <c r="N152" l="1"/>
  <c r="J152"/>
  <c r="N141"/>
  <c r="J141"/>
  <c r="J161"/>
  <c r="N161" s="1"/>
  <c r="J163"/>
  <c r="N163" s="1"/>
  <c r="N149"/>
  <c r="J149"/>
  <c r="J91"/>
  <c r="N91" s="1"/>
  <c r="N77"/>
  <c r="J77"/>
  <c r="J95"/>
  <c r="N95" s="1"/>
  <c r="J102"/>
  <c r="N102" s="1"/>
  <c r="N68"/>
  <c r="J68"/>
  <c r="N72"/>
  <c r="J72"/>
  <c r="N101"/>
  <c r="J101"/>
  <c r="N96"/>
  <c r="J96"/>
  <c r="M88"/>
  <c r="L88"/>
  <c r="N94"/>
  <c r="J94"/>
  <c r="K9" i="5" l="1"/>
  <c r="K10"/>
  <c r="M10"/>
  <c r="N10"/>
  <c r="K12"/>
  <c r="K13"/>
  <c r="K14"/>
  <c r="M14"/>
  <c r="N14"/>
  <c r="K15"/>
  <c r="M15"/>
  <c r="N15"/>
  <c r="K16"/>
  <c r="K19"/>
  <c r="K20"/>
  <c r="K22"/>
  <c r="M22"/>
  <c r="N22"/>
  <c r="K23"/>
  <c r="M23"/>
  <c r="N23"/>
  <c r="K24"/>
  <c r="M24"/>
  <c r="N24"/>
  <c r="K25"/>
  <c r="K26"/>
  <c r="M26"/>
  <c r="N26"/>
  <c r="K29"/>
  <c r="K31"/>
  <c r="M31"/>
  <c r="N31"/>
  <c r="K34"/>
  <c r="K35"/>
  <c r="K39"/>
  <c r="K40"/>
  <c r="K41"/>
  <c r="M41"/>
  <c r="N41"/>
  <c r="K42"/>
  <c r="M42"/>
  <c r="N42"/>
  <c r="K44"/>
  <c r="M44"/>
  <c r="N44"/>
  <c r="K45"/>
  <c r="M45"/>
  <c r="N45"/>
  <c r="K46"/>
  <c r="M46"/>
  <c r="N46"/>
  <c r="K47"/>
  <c r="K48"/>
  <c r="M48"/>
  <c r="N48"/>
  <c r="K49"/>
  <c r="M49"/>
  <c r="N49"/>
  <c r="K50"/>
  <c r="K52"/>
  <c r="M52"/>
  <c r="N52"/>
  <c r="K55"/>
  <c r="M55"/>
  <c r="N55"/>
  <c r="K56"/>
  <c r="M56"/>
  <c r="N56"/>
  <c r="K57"/>
  <c r="M57"/>
  <c r="N57"/>
  <c r="K58"/>
  <c r="K62"/>
  <c r="M62"/>
  <c r="N62"/>
  <c r="K64"/>
  <c r="K65"/>
  <c r="K66"/>
  <c r="M66"/>
  <c r="N66"/>
  <c r="K67"/>
  <c r="K68"/>
  <c r="K69"/>
  <c r="K70"/>
  <c r="K71"/>
  <c r="M71"/>
  <c r="N71"/>
  <c r="K73"/>
  <c r="K74"/>
  <c r="K75"/>
  <c r="K76"/>
  <c r="K77"/>
  <c r="M77"/>
  <c r="N77"/>
  <c r="K78"/>
  <c r="K79"/>
  <c r="K80"/>
  <c r="K82"/>
  <c r="K85"/>
  <c r="K86"/>
  <c r="K87"/>
  <c r="K88"/>
  <c r="K89"/>
  <c r="K90"/>
  <c r="K91"/>
  <c r="K92"/>
  <c r="K93"/>
  <c r="K95"/>
  <c r="M95"/>
  <c r="N95"/>
  <c r="K96"/>
  <c r="K97"/>
  <c r="K99"/>
  <c r="K100"/>
  <c r="K101"/>
  <c r="K108"/>
  <c r="M108"/>
  <c r="N108"/>
  <c r="K109"/>
  <c r="M109"/>
  <c r="N109"/>
  <c r="K115"/>
  <c r="K118"/>
  <c r="M118"/>
  <c r="N118"/>
  <c r="K119"/>
  <c r="K120"/>
  <c r="K121"/>
  <c r="M121"/>
  <c r="N121"/>
  <c r="K124"/>
  <c r="K125"/>
  <c r="K126"/>
  <c r="K127"/>
  <c r="M127"/>
  <c r="N127"/>
  <c r="K128"/>
  <c r="K130"/>
  <c r="M130"/>
  <c r="N130"/>
  <c r="K131"/>
  <c r="K132"/>
  <c r="M132"/>
  <c r="N132"/>
  <c r="K133"/>
  <c r="M133"/>
  <c r="N133"/>
  <c r="K135"/>
  <c r="K137"/>
  <c r="K138"/>
  <c r="K139"/>
  <c r="M139"/>
  <c r="N139"/>
  <c r="K141"/>
  <c r="M141"/>
  <c r="N141"/>
  <c r="K142"/>
  <c r="M142"/>
  <c r="N142"/>
  <c r="K143"/>
  <c r="M143"/>
  <c r="N143"/>
  <c r="K144"/>
  <c r="K147"/>
  <c r="K148"/>
  <c r="K150"/>
  <c r="M150"/>
  <c r="N150"/>
  <c r="K152"/>
  <c r="K153"/>
  <c r="K154"/>
  <c r="M154"/>
  <c r="N154"/>
  <c r="K156"/>
  <c r="M156"/>
  <c r="N156"/>
  <c r="K158"/>
  <c r="M158"/>
  <c r="N158"/>
  <c r="K159"/>
  <c r="M159"/>
  <c r="N159"/>
  <c r="K161"/>
  <c r="K162"/>
  <c r="K163"/>
  <c r="K165"/>
  <c r="K167"/>
  <c r="K168"/>
  <c r="K169"/>
  <c r="K171"/>
  <c r="K172"/>
  <c r="K173"/>
  <c r="K176"/>
  <c r="K177"/>
  <c r="K179"/>
  <c r="K180"/>
  <c r="K181"/>
  <c r="K182"/>
  <c r="K183"/>
  <c r="K184"/>
  <c r="K185"/>
  <c r="K187"/>
  <c r="K188"/>
  <c r="K189"/>
  <c r="K190"/>
  <c r="K191"/>
  <c r="K192"/>
  <c r="K193"/>
  <c r="K194"/>
  <c r="K196"/>
  <c r="N8"/>
  <c r="M8"/>
  <c r="K8"/>
  <c r="N181" i="6"/>
  <c r="J181"/>
  <c r="J175"/>
  <c r="N175" s="1"/>
  <c r="J173"/>
  <c r="N173" s="1"/>
  <c r="J172"/>
  <c r="N172" s="1"/>
  <c r="J169"/>
  <c r="N169" s="1"/>
  <c r="J162"/>
  <c r="N162" s="1"/>
  <c r="J158"/>
  <c r="M156"/>
  <c r="L156"/>
  <c r="J156"/>
  <c r="J100"/>
  <c r="N100" s="1"/>
  <c r="J92"/>
  <c r="N92" s="1"/>
  <c r="J88"/>
  <c r="N88" s="1"/>
  <c r="K186" i="3"/>
  <c r="O186" s="1"/>
  <c r="J161" i="4"/>
  <c r="N161" s="1"/>
  <c r="K161" i="3"/>
  <c r="O161" s="1"/>
  <c r="K8"/>
  <c r="O8" s="1"/>
  <c r="K13"/>
  <c r="K22"/>
  <c r="M22"/>
  <c r="N22"/>
  <c r="K24"/>
  <c r="K30"/>
  <c r="K33"/>
  <c r="K35"/>
  <c r="O35"/>
  <c r="K36"/>
  <c r="K38"/>
  <c r="K42"/>
  <c r="M42"/>
  <c r="N42"/>
  <c r="K43"/>
  <c r="O43" s="1"/>
  <c r="K54"/>
  <c r="O54" s="1"/>
  <c r="K55"/>
  <c r="K58"/>
  <c r="K59"/>
  <c r="M59"/>
  <c r="N59"/>
  <c r="K64"/>
  <c r="K77"/>
  <c r="O77" s="1"/>
  <c r="K97"/>
  <c r="M97"/>
  <c r="N97"/>
  <c r="K110"/>
  <c r="K111"/>
  <c r="K124"/>
  <c r="M124"/>
  <c r="N124"/>
  <c r="K133"/>
  <c r="K135"/>
  <c r="M135"/>
  <c r="N135"/>
  <c r="K138"/>
  <c r="K139"/>
  <c r="O139" s="1"/>
  <c r="K145"/>
  <c r="K162"/>
  <c r="K164"/>
  <c r="K167"/>
  <c r="M167"/>
  <c r="N167"/>
  <c r="K184"/>
  <c r="K185"/>
  <c r="K187"/>
  <c r="O187" s="1"/>
  <c r="K196"/>
  <c r="K201"/>
  <c r="K10"/>
  <c r="N12"/>
  <c r="M12"/>
  <c r="K12"/>
  <c r="J180" i="4"/>
  <c r="N180" s="1"/>
  <c r="J174"/>
  <c r="N174" s="1"/>
  <c r="J172"/>
  <c r="N172" s="1"/>
  <c r="J171"/>
  <c r="J168"/>
  <c r="J158"/>
  <c r="M157"/>
  <c r="L157"/>
  <c r="J157"/>
  <c r="M155"/>
  <c r="L155"/>
  <c r="J155"/>
  <c r="J100"/>
  <c r="J92"/>
  <c r="J88"/>
  <c r="K125" i="1"/>
  <c r="N188" i="2"/>
  <c r="J188"/>
  <c r="N176"/>
  <c r="J176"/>
  <c r="N181"/>
  <c r="J181"/>
  <c r="J178"/>
  <c r="N178" s="1"/>
  <c r="O135" i="3" l="1"/>
  <c r="O59"/>
  <c r="O100" i="5"/>
  <c r="O92"/>
  <c r="O80"/>
  <c r="O76"/>
  <c r="O68"/>
  <c r="O64"/>
  <c r="O56"/>
  <c r="O52"/>
  <c r="O48"/>
  <c r="O40"/>
  <c r="O31"/>
  <c r="O15"/>
  <c r="O8"/>
  <c r="O120"/>
  <c r="O108"/>
  <c r="O167" i="3"/>
  <c r="O96" i="5"/>
  <c r="O88"/>
  <c r="O44"/>
  <c r="O23"/>
  <c r="O19"/>
  <c r="O193"/>
  <c r="O189"/>
  <c r="O185"/>
  <c r="O181"/>
  <c r="O177"/>
  <c r="O173"/>
  <c r="O169"/>
  <c r="O165"/>
  <c r="O161"/>
  <c r="O153"/>
  <c r="O148"/>
  <c r="O144"/>
  <c r="O132"/>
  <c r="O128"/>
  <c r="O124"/>
  <c r="O192"/>
  <c r="O184"/>
  <c r="O176"/>
  <c r="O135"/>
  <c r="O127"/>
  <c r="O119"/>
  <c r="O99"/>
  <c r="O91"/>
  <c r="O79"/>
  <c r="O75"/>
  <c r="O71"/>
  <c r="O39"/>
  <c r="O10"/>
  <c r="O187"/>
  <c r="O167"/>
  <c r="O163"/>
  <c r="O142"/>
  <c r="O118"/>
  <c r="O90"/>
  <c r="O86"/>
  <c r="O82"/>
  <c r="O78"/>
  <c r="O74"/>
  <c r="O70"/>
  <c r="O66"/>
  <c r="O62"/>
  <c r="O58"/>
  <c r="O50"/>
  <c r="O46"/>
  <c r="O42"/>
  <c r="O34"/>
  <c r="O29"/>
  <c r="O25"/>
  <c r="O13"/>
  <c r="O9"/>
  <c r="O196"/>
  <c r="O188"/>
  <c r="O180"/>
  <c r="O172"/>
  <c r="O168"/>
  <c r="O156"/>
  <c r="O152"/>
  <c r="O147"/>
  <c r="O143"/>
  <c r="O139"/>
  <c r="O131"/>
  <c r="O115"/>
  <c r="O95"/>
  <c r="O87"/>
  <c r="O67"/>
  <c r="O55"/>
  <c r="O47"/>
  <c r="O35"/>
  <c r="O26"/>
  <c r="O22"/>
  <c r="O14"/>
  <c r="O191"/>
  <c r="O183"/>
  <c r="O179"/>
  <c r="O171"/>
  <c r="O159"/>
  <c r="O138"/>
  <c r="O130"/>
  <c r="O126"/>
  <c r="O194"/>
  <c r="O190"/>
  <c r="O182"/>
  <c r="O162"/>
  <c r="O158"/>
  <c r="O154"/>
  <c r="O150"/>
  <c r="O141"/>
  <c r="O137"/>
  <c r="O133"/>
  <c r="O125"/>
  <c r="O121"/>
  <c r="O109"/>
  <c r="O101"/>
  <c r="O97"/>
  <c r="O93"/>
  <c r="O89"/>
  <c r="O85"/>
  <c r="O77"/>
  <c r="O73"/>
  <c r="O69"/>
  <c r="O65"/>
  <c r="O57"/>
  <c r="O49"/>
  <c r="O45"/>
  <c r="O41"/>
  <c r="O24"/>
  <c r="O20"/>
  <c r="O16"/>
  <c r="O12"/>
  <c r="N158" i="6"/>
  <c r="N156"/>
  <c r="O196" i="3"/>
  <c r="O185"/>
  <c r="O201"/>
  <c r="O184"/>
  <c r="O138"/>
  <c r="O111"/>
  <c r="O145"/>
  <c r="O110"/>
  <c r="O133"/>
  <c r="O64"/>
  <c r="O162"/>
  <c r="O97"/>
  <c r="O124"/>
  <c r="O33"/>
  <c r="O58"/>
  <c r="O55"/>
  <c r="O42"/>
  <c r="O24"/>
  <c r="O22"/>
  <c r="O10"/>
  <c r="O30"/>
  <c r="O36"/>
  <c r="O13"/>
  <c r="O38"/>
  <c r="O164"/>
  <c r="O12"/>
  <c r="N92" i="4"/>
  <c r="N158"/>
  <c r="N100"/>
  <c r="N157"/>
  <c r="N168"/>
  <c r="N155"/>
  <c r="N88"/>
  <c r="N171"/>
  <c r="N76" i="2"/>
  <c r="J76"/>
  <c r="K9" i="1"/>
  <c r="O9"/>
  <c r="K12"/>
  <c r="M12"/>
  <c r="N12"/>
  <c r="O12" s="1"/>
  <c r="K14"/>
  <c r="M14"/>
  <c r="N14"/>
  <c r="O14" s="1"/>
  <c r="K15"/>
  <c r="K17"/>
  <c r="M17"/>
  <c r="N17"/>
  <c r="O17" s="1"/>
  <c r="K19"/>
  <c r="K20"/>
  <c r="M20"/>
  <c r="N20"/>
  <c r="K21"/>
  <c r="O21"/>
  <c r="K23"/>
  <c r="M23"/>
  <c r="N23"/>
  <c r="O23" s="1"/>
  <c r="K24"/>
  <c r="M24"/>
  <c r="N24"/>
  <c r="K25"/>
  <c r="O25"/>
  <c r="K26"/>
  <c r="O26" s="1"/>
  <c r="K30"/>
  <c r="M30"/>
  <c r="N30"/>
  <c r="K32"/>
  <c r="M32"/>
  <c r="N32"/>
  <c r="K33"/>
  <c r="M33"/>
  <c r="N33"/>
  <c r="K34"/>
  <c r="K35"/>
  <c r="M35"/>
  <c r="N35"/>
  <c r="K36"/>
  <c r="K38"/>
  <c r="K39"/>
  <c r="K40"/>
  <c r="O40"/>
  <c r="K42"/>
  <c r="M42"/>
  <c r="N42"/>
  <c r="K44"/>
  <c r="K45"/>
  <c r="K46"/>
  <c r="K47"/>
  <c r="M47"/>
  <c r="N47"/>
  <c r="K48"/>
  <c r="O48"/>
  <c r="K49"/>
  <c r="M49"/>
  <c r="N49"/>
  <c r="K50"/>
  <c r="M50"/>
  <c r="N50"/>
  <c r="O50" s="1"/>
  <c r="K51"/>
  <c r="M51"/>
  <c r="N51"/>
  <c r="K52"/>
  <c r="M52"/>
  <c r="N52"/>
  <c r="K54"/>
  <c r="K56"/>
  <c r="O56"/>
  <c r="K57"/>
  <c r="M57"/>
  <c r="N57"/>
  <c r="O57" s="1"/>
  <c r="K60"/>
  <c r="O60"/>
  <c r="K61"/>
  <c r="M61"/>
  <c r="N61"/>
  <c r="K62"/>
  <c r="M62"/>
  <c r="N62"/>
  <c r="K64"/>
  <c r="M64"/>
  <c r="N64"/>
  <c r="K65"/>
  <c r="M65"/>
  <c r="N65"/>
  <c r="K66"/>
  <c r="M66"/>
  <c r="N66"/>
  <c r="K68"/>
  <c r="M68"/>
  <c r="N68"/>
  <c r="K69"/>
  <c r="M69"/>
  <c r="N69"/>
  <c r="K70"/>
  <c r="M70"/>
  <c r="N70"/>
  <c r="K71"/>
  <c r="M71"/>
  <c r="N71"/>
  <c r="K73"/>
  <c r="M73"/>
  <c r="N73"/>
  <c r="K75"/>
  <c r="M75"/>
  <c r="N75"/>
  <c r="O75" s="1"/>
  <c r="K76"/>
  <c r="M76"/>
  <c r="N76"/>
  <c r="K77"/>
  <c r="M77"/>
  <c r="N77"/>
  <c r="K78"/>
  <c r="M78"/>
  <c r="N78"/>
  <c r="O78" s="1"/>
  <c r="K79"/>
  <c r="M79"/>
  <c r="N79"/>
  <c r="K80"/>
  <c r="M80"/>
  <c r="N80"/>
  <c r="K81"/>
  <c r="M81"/>
  <c r="N81"/>
  <c r="O81" s="1"/>
  <c r="K82"/>
  <c r="M82"/>
  <c r="N82"/>
  <c r="K83"/>
  <c r="M83"/>
  <c r="N83"/>
  <c r="K84"/>
  <c r="M84"/>
  <c r="N84"/>
  <c r="K85"/>
  <c r="M85"/>
  <c r="N85"/>
  <c r="K86"/>
  <c r="M86"/>
  <c r="N86"/>
  <c r="K87"/>
  <c r="M87"/>
  <c r="N87"/>
  <c r="O87" s="1"/>
  <c r="K88"/>
  <c r="M88"/>
  <c r="N88"/>
  <c r="K89"/>
  <c r="M89"/>
  <c r="N89"/>
  <c r="O89" s="1"/>
  <c r="K91"/>
  <c r="M91"/>
  <c r="N91"/>
  <c r="O91" s="1"/>
  <c r="K92"/>
  <c r="M92"/>
  <c r="N92"/>
  <c r="K93"/>
  <c r="M93"/>
  <c r="N93"/>
  <c r="K94"/>
  <c r="M94"/>
  <c r="N94"/>
  <c r="K95"/>
  <c r="M95"/>
  <c r="N95"/>
  <c r="K96"/>
  <c r="M96"/>
  <c r="N96"/>
  <c r="K97"/>
  <c r="M97"/>
  <c r="N97"/>
  <c r="K98"/>
  <c r="M98"/>
  <c r="N98"/>
  <c r="K99"/>
  <c r="M99"/>
  <c r="N99"/>
  <c r="K100"/>
  <c r="M100"/>
  <c r="N100"/>
  <c r="K101"/>
  <c r="M101"/>
  <c r="N101"/>
  <c r="K102"/>
  <c r="M102"/>
  <c r="N102"/>
  <c r="O102" s="1"/>
  <c r="K103"/>
  <c r="M103"/>
  <c r="N103"/>
  <c r="K104"/>
  <c r="M104"/>
  <c r="N104"/>
  <c r="K105"/>
  <c r="M105"/>
  <c r="N105"/>
  <c r="K106"/>
  <c r="M106"/>
  <c r="N106"/>
  <c r="K107"/>
  <c r="M107"/>
  <c r="N107"/>
  <c r="K108"/>
  <c r="M108"/>
  <c r="N108"/>
  <c r="O108" s="1"/>
  <c r="K109"/>
  <c r="M109"/>
  <c r="N109"/>
  <c r="K110"/>
  <c r="M110"/>
  <c r="N110"/>
  <c r="K111"/>
  <c r="M111"/>
  <c r="N111"/>
  <c r="K112"/>
  <c r="M112"/>
  <c r="N112"/>
  <c r="K113"/>
  <c r="K114"/>
  <c r="M114"/>
  <c r="N114"/>
  <c r="K115"/>
  <c r="M115"/>
  <c r="N115"/>
  <c r="K116"/>
  <c r="M116"/>
  <c r="N116"/>
  <c r="K117"/>
  <c r="M117"/>
  <c r="N117"/>
  <c r="K118"/>
  <c r="M118"/>
  <c r="N118"/>
  <c r="K120"/>
  <c r="M120"/>
  <c r="N120"/>
  <c r="K121"/>
  <c r="M121"/>
  <c r="N121"/>
  <c r="K122"/>
  <c r="M122"/>
  <c r="N122"/>
  <c r="K123"/>
  <c r="M123"/>
  <c r="N123"/>
  <c r="K124"/>
  <c r="M124"/>
  <c r="N124"/>
  <c r="M125"/>
  <c r="N125"/>
  <c r="K126"/>
  <c r="M126"/>
  <c r="N126"/>
  <c r="K127"/>
  <c r="M127"/>
  <c r="N127"/>
  <c r="K128"/>
  <c r="M128"/>
  <c r="N128"/>
  <c r="K130"/>
  <c r="M130"/>
  <c r="N130"/>
  <c r="K131"/>
  <c r="M131"/>
  <c r="N131"/>
  <c r="K132"/>
  <c r="M132"/>
  <c r="N132"/>
  <c r="K133"/>
  <c r="M133"/>
  <c r="N133"/>
  <c r="O133" s="1"/>
  <c r="K134"/>
  <c r="O134"/>
  <c r="K135"/>
  <c r="K136"/>
  <c r="O136"/>
  <c r="K137"/>
  <c r="M137"/>
  <c r="N137"/>
  <c r="K138"/>
  <c r="K139"/>
  <c r="M139"/>
  <c r="N139"/>
  <c r="K140"/>
  <c r="M140"/>
  <c r="N140"/>
  <c r="K141"/>
  <c r="M141"/>
  <c r="N141"/>
  <c r="K142"/>
  <c r="M142"/>
  <c r="N142"/>
  <c r="K143"/>
  <c r="M143"/>
  <c r="N143"/>
  <c r="K144"/>
  <c r="M144"/>
  <c r="N144"/>
  <c r="K145"/>
  <c r="M145"/>
  <c r="N145"/>
  <c r="K146"/>
  <c r="M146"/>
  <c r="N146"/>
  <c r="K147"/>
  <c r="M147"/>
  <c r="N147"/>
  <c r="K148"/>
  <c r="M148"/>
  <c r="N148"/>
  <c r="K149"/>
  <c r="M149"/>
  <c r="N149"/>
  <c r="K150"/>
  <c r="M150"/>
  <c r="N150"/>
  <c r="K151"/>
  <c r="M151"/>
  <c r="N151"/>
  <c r="K152"/>
  <c r="M152"/>
  <c r="N152"/>
  <c r="K153"/>
  <c r="M153"/>
  <c r="N153"/>
  <c r="K154"/>
  <c r="M154"/>
  <c r="N154"/>
  <c r="O154" s="1"/>
  <c r="K155"/>
  <c r="M155"/>
  <c r="N155"/>
  <c r="O155" s="1"/>
  <c r="K156"/>
  <c r="M156"/>
  <c r="N156"/>
  <c r="K157"/>
  <c r="M157"/>
  <c r="N157"/>
  <c r="K158"/>
  <c r="M158"/>
  <c r="N158"/>
  <c r="K159"/>
  <c r="M159"/>
  <c r="N159"/>
  <c r="K160"/>
  <c r="M160"/>
  <c r="N160"/>
  <c r="K161"/>
  <c r="M161"/>
  <c r="N161"/>
  <c r="K162"/>
  <c r="M162"/>
  <c r="N162"/>
  <c r="K163"/>
  <c r="M163"/>
  <c r="N163"/>
  <c r="K164"/>
  <c r="O164"/>
  <c r="K165"/>
  <c r="K166"/>
  <c r="M166"/>
  <c r="N166"/>
  <c r="K169"/>
  <c r="M169"/>
  <c r="N169"/>
  <c r="K170"/>
  <c r="M170"/>
  <c r="N170"/>
  <c r="K171"/>
  <c r="M171"/>
  <c r="N171"/>
  <c r="K172"/>
  <c r="M172"/>
  <c r="N172"/>
  <c r="K173"/>
  <c r="M173"/>
  <c r="N173"/>
  <c r="K174"/>
  <c r="M174"/>
  <c r="N174"/>
  <c r="K175"/>
  <c r="M175"/>
  <c r="N175"/>
  <c r="K177"/>
  <c r="M177"/>
  <c r="N177"/>
  <c r="K179"/>
  <c r="M179"/>
  <c r="N179"/>
  <c r="K181"/>
  <c r="M181"/>
  <c r="N181"/>
  <c r="O181" s="1"/>
  <c r="K182"/>
  <c r="M182"/>
  <c r="N182"/>
  <c r="K183"/>
  <c r="M183"/>
  <c r="N183"/>
  <c r="K184"/>
  <c r="M184"/>
  <c r="N184"/>
  <c r="K186"/>
  <c r="M186"/>
  <c r="N186"/>
  <c r="O186" s="1"/>
  <c r="K187"/>
  <c r="M187"/>
  <c r="N187"/>
  <c r="K188"/>
  <c r="M188"/>
  <c r="N188"/>
  <c r="K189"/>
  <c r="M189"/>
  <c r="N189"/>
  <c r="K190"/>
  <c r="M190"/>
  <c r="N190"/>
  <c r="O190" s="1"/>
  <c r="K191"/>
  <c r="M191"/>
  <c r="N191"/>
  <c r="K193"/>
  <c r="M193"/>
  <c r="N193"/>
  <c r="K194"/>
  <c r="M194"/>
  <c r="N194"/>
  <c r="K195"/>
  <c r="M195"/>
  <c r="N195"/>
  <c r="O195" s="1"/>
  <c r="K196"/>
  <c r="M196"/>
  <c r="N196"/>
  <c r="K197"/>
  <c r="M197"/>
  <c r="N197"/>
  <c r="O197" s="1"/>
  <c r="K198"/>
  <c r="M198"/>
  <c r="N198"/>
  <c r="K200"/>
  <c r="M200"/>
  <c r="N200"/>
  <c r="K201"/>
  <c r="M201"/>
  <c r="N201"/>
  <c r="K202"/>
  <c r="M202"/>
  <c r="N202"/>
  <c r="O202" s="1"/>
  <c r="K203"/>
  <c r="M203"/>
  <c r="N203"/>
  <c r="K204"/>
  <c r="M204"/>
  <c r="N204"/>
  <c r="K205"/>
  <c r="M205"/>
  <c r="N205"/>
  <c r="J189" i="2"/>
  <c r="N189" s="1"/>
  <c r="J186"/>
  <c r="J183"/>
  <c r="N183" s="1"/>
  <c r="J182"/>
  <c r="M180"/>
  <c r="N180" s="1"/>
  <c r="L180"/>
  <c r="J180"/>
  <c r="M179"/>
  <c r="L179"/>
  <c r="J179"/>
  <c r="M177"/>
  <c r="L177"/>
  <c r="J177"/>
  <c r="J174"/>
  <c r="M172"/>
  <c r="L172"/>
  <c r="J172"/>
  <c r="M169"/>
  <c r="L169"/>
  <c r="J169"/>
  <c r="M167"/>
  <c r="L167"/>
  <c r="J167"/>
  <c r="M166"/>
  <c r="L166"/>
  <c r="J166"/>
  <c r="M165"/>
  <c r="L165"/>
  <c r="J165"/>
  <c r="M164"/>
  <c r="L164"/>
  <c r="J164"/>
  <c r="M162"/>
  <c r="L162"/>
  <c r="J162"/>
  <c r="M161"/>
  <c r="L161"/>
  <c r="J161"/>
  <c r="M159"/>
  <c r="L159"/>
  <c r="J159"/>
  <c r="M157"/>
  <c r="L157"/>
  <c r="J157"/>
  <c r="J150"/>
  <c r="N150" s="1"/>
  <c r="J149"/>
  <c r="N149" s="1"/>
  <c r="J145"/>
  <c r="N145" s="1"/>
  <c r="J144"/>
  <c r="N144" s="1"/>
  <c r="J134"/>
  <c r="N134" s="1"/>
  <c r="J133"/>
  <c r="N133" s="1"/>
  <c r="J130"/>
  <c r="N130" s="1"/>
  <c r="J108"/>
  <c r="M107"/>
  <c r="L107"/>
  <c r="J107"/>
  <c r="M106"/>
  <c r="L106"/>
  <c r="J106"/>
  <c r="M102"/>
  <c r="L102"/>
  <c r="J102"/>
  <c r="J101"/>
  <c r="N101" s="1"/>
  <c r="M100"/>
  <c r="L100"/>
  <c r="J100"/>
  <c r="M98"/>
  <c r="L98"/>
  <c r="J98"/>
  <c r="M97"/>
  <c r="L97"/>
  <c r="J97"/>
  <c r="M94"/>
  <c r="L94"/>
  <c r="J94"/>
  <c r="J92"/>
  <c r="N92" s="1"/>
  <c r="N83"/>
  <c r="J83"/>
  <c r="J82"/>
  <c r="N82" s="1"/>
  <c r="N81"/>
  <c r="J81"/>
  <c r="M77"/>
  <c r="L77"/>
  <c r="J77"/>
  <c r="M75"/>
  <c r="L75"/>
  <c r="J75"/>
  <c r="M73"/>
  <c r="L73"/>
  <c r="J73"/>
  <c r="J31"/>
  <c r="N31" s="1"/>
  <c r="J25"/>
  <c r="N25" s="1"/>
  <c r="N159" l="1"/>
  <c r="O68" i="1"/>
  <c r="O35"/>
  <c r="O157"/>
  <c r="O156"/>
  <c r="O52"/>
  <c r="O145"/>
  <c r="O144"/>
  <c r="O143"/>
  <c r="O142"/>
  <c r="O141"/>
  <c r="O131"/>
  <c r="O132"/>
  <c r="O135"/>
  <c r="O146"/>
  <c r="O149"/>
  <c r="O147"/>
  <c r="O159"/>
  <c r="O158"/>
  <c r="O148"/>
  <c r="O153"/>
  <c r="O114"/>
  <c r="O113"/>
  <c r="O151"/>
  <c r="O150"/>
  <c r="O152"/>
  <c r="O140"/>
  <c r="O137"/>
  <c r="O138"/>
  <c r="O139"/>
  <c r="O165"/>
  <c r="O166"/>
  <c r="O169"/>
  <c r="O163"/>
  <c r="O94"/>
  <c r="O82"/>
  <c r="O125"/>
  <c r="O162"/>
  <c r="O161"/>
  <c r="O66"/>
  <c r="O130"/>
  <c r="O160"/>
  <c r="O121"/>
  <c r="O122"/>
  <c r="O71"/>
  <c r="O99"/>
  <c r="O104"/>
  <c r="O110"/>
  <c r="O100"/>
  <c r="O106"/>
  <c r="O76"/>
  <c r="O96"/>
  <c r="O93"/>
  <c r="O97"/>
  <c r="N161" i="2"/>
  <c r="O117" i="1"/>
  <c r="O115"/>
  <c r="O85"/>
  <c r="O107"/>
  <c r="O98"/>
  <c r="O109"/>
  <c r="O92"/>
  <c r="O88"/>
  <c r="O79"/>
  <c r="O95"/>
  <c r="O101"/>
  <c r="O73"/>
  <c r="O84"/>
  <c r="O86"/>
  <c r="O111"/>
  <c r="O128"/>
  <c r="O105"/>
  <c r="O64"/>
  <c r="O80"/>
  <c r="O123"/>
  <c r="O120"/>
  <c r="O70"/>
  <c r="O83"/>
  <c r="O69"/>
  <c r="O103"/>
  <c r="N165" i="2"/>
  <c r="O77" i="1"/>
  <c r="O127"/>
  <c r="O65"/>
  <c r="O126"/>
  <c r="O118"/>
  <c r="O124"/>
  <c r="O116"/>
  <c r="O112"/>
  <c r="O62"/>
  <c r="O39"/>
  <c r="O61"/>
  <c r="O46"/>
  <c r="O47"/>
  <c r="O45"/>
  <c r="O42"/>
  <c r="O44"/>
  <c r="O24"/>
  <c r="O15"/>
  <c r="O19"/>
  <c r="O51"/>
  <c r="O49"/>
  <c r="O32"/>
  <c r="O36"/>
  <c r="O20"/>
  <c r="N179" i="2"/>
  <c r="O54" i="1"/>
  <c r="O38"/>
  <c r="O34"/>
  <c r="O30"/>
  <c r="O33"/>
  <c r="O205"/>
  <c r="O204"/>
  <c r="O203"/>
  <c r="O184"/>
  <c r="O177"/>
  <c r="O172"/>
  <c r="O171"/>
  <c r="O201"/>
  <c r="O194"/>
  <c r="O193"/>
  <c r="O191"/>
  <c r="O189"/>
  <c r="O182"/>
  <c r="O175"/>
  <c r="O183"/>
  <c r="O196"/>
  <c r="O200"/>
  <c r="O179"/>
  <c r="N172" i="2"/>
  <c r="O198" i="1"/>
  <c r="O188"/>
  <c r="O187"/>
  <c r="O173"/>
  <c r="O174"/>
  <c r="O170"/>
  <c r="N107" i="2"/>
  <c r="N100"/>
  <c r="N98"/>
  <c r="N182"/>
  <c r="N177"/>
  <c r="N169"/>
  <c r="N174"/>
  <c r="N166"/>
  <c r="N162"/>
  <c r="N167"/>
  <c r="N157"/>
  <c r="N164"/>
  <c r="N73"/>
  <c r="N186"/>
  <c r="N106"/>
  <c r="N108"/>
  <c r="N94"/>
  <c r="N97"/>
  <c r="N102"/>
  <c r="N77"/>
  <c r="N75"/>
</calcChain>
</file>

<file path=xl/comments1.xml><?xml version="1.0" encoding="utf-8"?>
<comments xmlns="http://schemas.openxmlformats.org/spreadsheetml/2006/main">
  <authors>
    <author>liliangchen</author>
  </authors>
  <commentList>
    <comment ref="F51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公休</t>
        </r>
      </text>
    </comment>
    <comment ref="F52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公休</t>
        </r>
      </text>
    </comment>
    <comment ref="F53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公休</t>
        </r>
      </text>
    </comment>
    <comment ref="F54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公休</t>
        </r>
      </text>
    </comment>
    <comment ref="F55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公休</t>
        </r>
      </text>
    </comment>
    <comment ref="F57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公休</t>
        </r>
      </text>
    </comment>
    <comment ref="F60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公休</t>
        </r>
      </text>
    </comment>
    <comment ref="F61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公休</t>
        </r>
      </text>
    </comment>
    <comment ref="B92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工号</t>
        </r>
        <r>
          <rPr>
            <sz val="9"/>
            <color indexed="81"/>
            <rFont val="Tahoma"/>
            <family val="2"/>
          </rPr>
          <t>0201283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2017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13</t>
        </r>
        <r>
          <rPr>
            <sz val="9"/>
            <color indexed="81"/>
            <rFont val="宋体"/>
            <family val="3"/>
            <charset val="134"/>
          </rPr>
          <t>日入职</t>
        </r>
      </text>
    </comment>
    <comment ref="F128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公休</t>
        </r>
      </text>
    </comment>
    <comment ref="F130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公休</t>
        </r>
      </text>
    </comment>
    <comment ref="F160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公休</t>
        </r>
      </text>
    </comment>
    <comment ref="F161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公休</t>
        </r>
      </text>
    </comment>
    <comment ref="F162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公休</t>
        </r>
      </text>
    </comment>
    <comment ref="F163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公休</t>
        </r>
      </text>
    </comment>
    <comment ref="F164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公休</t>
        </r>
      </text>
    </comment>
    <comment ref="F166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公休</t>
        </r>
      </text>
    </comment>
    <comment ref="F169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公休</t>
        </r>
      </text>
    </comment>
    <comment ref="F202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公休</t>
        </r>
      </text>
    </comment>
    <comment ref="F203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公休</t>
        </r>
      </text>
    </comment>
    <comment ref="F204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公休</t>
        </r>
      </text>
    </comment>
    <comment ref="F205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公休</t>
        </r>
      </text>
    </comment>
    <comment ref="F206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公休</t>
        </r>
      </text>
    </comment>
  </commentList>
</comments>
</file>

<file path=xl/comments2.xml><?xml version="1.0" encoding="utf-8"?>
<comments xmlns="http://schemas.openxmlformats.org/spreadsheetml/2006/main">
  <authors>
    <author>liliangchen</author>
  </authors>
  <commentList>
    <comment ref="B89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工号</t>
        </r>
        <r>
          <rPr>
            <sz val="9"/>
            <color indexed="81"/>
            <rFont val="Tahoma"/>
            <family val="2"/>
          </rPr>
          <t>0201283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2017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13</t>
        </r>
        <r>
          <rPr>
            <sz val="9"/>
            <color indexed="81"/>
            <rFont val="宋体"/>
            <family val="3"/>
            <charset val="134"/>
          </rPr>
          <t>日入职</t>
        </r>
      </text>
    </comment>
  </commentList>
</comments>
</file>

<file path=xl/comments3.xml><?xml version="1.0" encoding="utf-8"?>
<comments xmlns="http://schemas.openxmlformats.org/spreadsheetml/2006/main">
  <authors>
    <author>liliangchen</author>
  </authors>
  <commentList>
    <comment ref="B87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工号</t>
        </r>
        <r>
          <rPr>
            <sz val="9"/>
            <color indexed="81"/>
            <rFont val="Tahoma"/>
            <family val="2"/>
          </rPr>
          <t>0201283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2017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13</t>
        </r>
        <r>
          <rPr>
            <sz val="9"/>
            <color indexed="81"/>
            <rFont val="宋体"/>
            <family val="3"/>
            <charset val="134"/>
          </rPr>
          <t>日入职</t>
        </r>
      </text>
    </comment>
  </commentList>
</comments>
</file>

<file path=xl/comments4.xml><?xml version="1.0" encoding="utf-8"?>
<comments xmlns="http://schemas.openxmlformats.org/spreadsheetml/2006/main">
  <authors>
    <author>liliangchen</author>
  </authors>
  <commentList>
    <comment ref="J59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补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个中班</t>
        </r>
      </text>
    </comment>
    <comment ref="B85" authorId="0">
      <text>
        <r>
          <rPr>
            <b/>
            <sz val="9"/>
            <color indexed="81"/>
            <rFont val="Tahoma"/>
            <family val="2"/>
          </rPr>
          <t>liliangchen: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工号</t>
        </r>
        <r>
          <rPr>
            <sz val="9"/>
            <color indexed="81"/>
            <rFont val="Tahoma"/>
            <family val="2"/>
          </rPr>
          <t>0201283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2017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13</t>
        </r>
        <r>
          <rPr>
            <sz val="9"/>
            <color indexed="81"/>
            <rFont val="宋体"/>
            <family val="3"/>
            <charset val="134"/>
          </rPr>
          <t>日入职</t>
        </r>
      </text>
    </comment>
  </commentList>
</comments>
</file>

<file path=xl/sharedStrings.xml><?xml version="1.0" encoding="utf-8"?>
<sst xmlns="http://schemas.openxmlformats.org/spreadsheetml/2006/main" count="2605" uniqueCount="529">
  <si>
    <t>序号</t>
    <phoneticPr fontId="2" type="noConversion"/>
  </si>
  <si>
    <t>姓名</t>
  </si>
  <si>
    <t>部门</t>
    <phoneticPr fontId="3" type="noConversion"/>
  </si>
  <si>
    <t>公休</t>
    <phoneticPr fontId="3" type="noConversion"/>
  </si>
  <si>
    <t>病假
小时</t>
    <phoneticPr fontId="3" type="noConversion"/>
  </si>
  <si>
    <t>事假
小时</t>
    <phoneticPr fontId="3" type="noConversion"/>
  </si>
  <si>
    <t>换休（小时）</t>
    <phoneticPr fontId="3" type="noConversion"/>
  </si>
  <si>
    <t>公出
小时</t>
    <phoneticPr fontId="3" type="noConversion"/>
  </si>
  <si>
    <t>工伤/产假
小时</t>
    <phoneticPr fontId="3" type="noConversion"/>
  </si>
  <si>
    <t>中班</t>
    <phoneticPr fontId="3" type="noConversion"/>
  </si>
  <si>
    <t>中班费</t>
    <phoneticPr fontId="3" type="noConversion"/>
  </si>
  <si>
    <t>夜班</t>
    <phoneticPr fontId="3" type="noConversion"/>
  </si>
  <si>
    <t>夜班费</t>
    <phoneticPr fontId="3" type="noConversion"/>
  </si>
  <si>
    <t>夜班餐费</t>
    <phoneticPr fontId="3" type="noConversion"/>
  </si>
  <si>
    <t>中夜班及误餐费</t>
    <phoneticPr fontId="3" type="noConversion"/>
  </si>
  <si>
    <t>延时
小时</t>
  </si>
  <si>
    <t>双休
小时</t>
  </si>
  <si>
    <t>延时（超）</t>
    <phoneticPr fontId="3" type="noConversion"/>
  </si>
  <si>
    <t>双休（超）</t>
    <phoneticPr fontId="3" type="noConversion"/>
  </si>
  <si>
    <t>法定
小时</t>
  </si>
  <si>
    <t>备注</t>
  </si>
  <si>
    <t>何江平</t>
    <phoneticPr fontId="3" type="noConversion"/>
  </si>
  <si>
    <t>物流部</t>
    <phoneticPr fontId="3" type="noConversion"/>
  </si>
  <si>
    <t>俞秀红</t>
    <phoneticPr fontId="2" type="noConversion"/>
  </si>
  <si>
    <t>物流部</t>
    <phoneticPr fontId="3" type="noConversion"/>
  </si>
  <si>
    <t>王晓飞</t>
    <phoneticPr fontId="2" type="noConversion"/>
  </si>
  <si>
    <t>杨净彪</t>
    <phoneticPr fontId="2" type="noConversion"/>
  </si>
  <si>
    <t>陈宝红</t>
  </si>
  <si>
    <t>工厂控制阀</t>
  </si>
  <si>
    <t>严玉芹</t>
  </si>
  <si>
    <t>张才珍</t>
  </si>
  <si>
    <t>杨润芝</t>
  </si>
  <si>
    <t>闫迎秋</t>
  </si>
  <si>
    <t>邓志纯</t>
  </si>
  <si>
    <t>杜茉莉</t>
    <phoneticPr fontId="3" type="noConversion"/>
  </si>
  <si>
    <t>尚彩红</t>
  </si>
  <si>
    <t>夏长容</t>
  </si>
  <si>
    <t>董容</t>
  </si>
  <si>
    <t>罗炳江</t>
    <phoneticPr fontId="3" type="noConversion"/>
  </si>
  <si>
    <t>黄庆菊</t>
    <phoneticPr fontId="3" type="noConversion"/>
  </si>
  <si>
    <t>全月产假</t>
    <phoneticPr fontId="2" type="noConversion"/>
  </si>
  <si>
    <t>俞春芳</t>
  </si>
  <si>
    <t>张娜娜</t>
  </si>
  <si>
    <t>王颍</t>
    <phoneticPr fontId="3" type="noConversion"/>
  </si>
  <si>
    <t>邓建平</t>
    <phoneticPr fontId="3" type="noConversion"/>
  </si>
  <si>
    <t>许绪华</t>
  </si>
  <si>
    <t>丁燕红</t>
    <phoneticPr fontId="3" type="noConversion"/>
  </si>
  <si>
    <t>董素侠</t>
  </si>
  <si>
    <t>方雅</t>
  </si>
  <si>
    <t>朱亚伟</t>
  </si>
  <si>
    <t>罗小岭</t>
  </si>
  <si>
    <t>张艳</t>
  </si>
  <si>
    <t>杜海琼</t>
  </si>
  <si>
    <t>彭新春</t>
  </si>
  <si>
    <t>张芬</t>
    <phoneticPr fontId="3" type="noConversion"/>
  </si>
  <si>
    <t>邓春霞</t>
    <phoneticPr fontId="3" type="noConversion"/>
  </si>
  <si>
    <t>刘华</t>
    <phoneticPr fontId="3" type="noConversion"/>
  </si>
  <si>
    <t>吴红</t>
    <phoneticPr fontId="3" type="noConversion"/>
  </si>
  <si>
    <t>王珊珊</t>
    <phoneticPr fontId="3" type="noConversion"/>
  </si>
  <si>
    <t>陈双双</t>
    <phoneticPr fontId="3" type="noConversion"/>
  </si>
  <si>
    <t>冯方秀</t>
    <phoneticPr fontId="3" type="noConversion"/>
  </si>
  <si>
    <t>桂芳</t>
    <phoneticPr fontId="3" type="noConversion"/>
  </si>
  <si>
    <t>于秋红</t>
  </si>
  <si>
    <t>尹玉侠</t>
    <phoneticPr fontId="3" type="noConversion"/>
  </si>
  <si>
    <t>孟俊</t>
    <phoneticPr fontId="3" type="noConversion"/>
  </si>
  <si>
    <t>余红</t>
    <phoneticPr fontId="3" type="noConversion"/>
  </si>
  <si>
    <t>晏小玲</t>
    <phoneticPr fontId="3" type="noConversion"/>
  </si>
  <si>
    <t>何秀芹</t>
    <phoneticPr fontId="3" type="noConversion"/>
  </si>
  <si>
    <t>彭艳梅</t>
  </si>
  <si>
    <t>孙凤娟</t>
  </si>
  <si>
    <t>徐雪雪</t>
  </si>
  <si>
    <t>吴珍珍</t>
    <phoneticPr fontId="2" type="noConversion"/>
  </si>
  <si>
    <t>白雪</t>
    <phoneticPr fontId="2" type="noConversion"/>
  </si>
  <si>
    <t>高玲芝</t>
    <phoneticPr fontId="2" type="noConversion"/>
  </si>
  <si>
    <t>刘静</t>
    <phoneticPr fontId="2" type="noConversion"/>
  </si>
  <si>
    <t>孙孝丽</t>
    <phoneticPr fontId="2" type="noConversion"/>
  </si>
  <si>
    <t>张篡篡</t>
    <phoneticPr fontId="2" type="noConversion"/>
  </si>
  <si>
    <t>李洋洋</t>
    <phoneticPr fontId="2" type="noConversion"/>
  </si>
  <si>
    <t>杨鑫森</t>
    <phoneticPr fontId="2" type="noConversion"/>
  </si>
  <si>
    <t>张伟</t>
    <phoneticPr fontId="2" type="noConversion"/>
  </si>
  <si>
    <t>潘忠伦</t>
    <phoneticPr fontId="2" type="noConversion"/>
  </si>
  <si>
    <t>朱玲</t>
    <phoneticPr fontId="2" type="noConversion"/>
  </si>
  <si>
    <t>张超</t>
    <phoneticPr fontId="2" type="noConversion"/>
  </si>
  <si>
    <t>赵雅静</t>
  </si>
  <si>
    <t>工厂离合器扭矩限制</t>
    <phoneticPr fontId="3" type="noConversion"/>
  </si>
  <si>
    <t>路容容</t>
  </si>
  <si>
    <t>王飞花</t>
  </si>
  <si>
    <t>刘志梅</t>
    <phoneticPr fontId="3" type="noConversion"/>
  </si>
  <si>
    <t>徐兆云</t>
    <phoneticPr fontId="3" type="noConversion"/>
  </si>
  <si>
    <t>崔玉娟</t>
    <phoneticPr fontId="3" type="noConversion"/>
  </si>
  <si>
    <t>张业慧</t>
    <phoneticPr fontId="3" type="noConversion"/>
  </si>
  <si>
    <t>宋士霞</t>
    <phoneticPr fontId="3" type="noConversion"/>
  </si>
  <si>
    <t>邵玲</t>
  </si>
  <si>
    <t>张英</t>
  </si>
  <si>
    <t>郭润宏</t>
    <phoneticPr fontId="2" type="noConversion"/>
  </si>
  <si>
    <t>翁金芳</t>
  </si>
  <si>
    <t>工厂离合器吸盘部件</t>
    <phoneticPr fontId="3" type="noConversion"/>
  </si>
  <si>
    <t>项怀新</t>
  </si>
  <si>
    <t>刘君宝</t>
  </si>
  <si>
    <t>杨琴</t>
    <phoneticPr fontId="3" type="noConversion"/>
  </si>
  <si>
    <t>徐照燕</t>
  </si>
  <si>
    <t>孙琼</t>
  </si>
  <si>
    <t>高莉</t>
    <phoneticPr fontId="3" type="noConversion"/>
  </si>
  <si>
    <t>杨先碧</t>
    <phoneticPr fontId="3" type="noConversion"/>
  </si>
  <si>
    <t>彭代芳</t>
    <phoneticPr fontId="3" type="noConversion"/>
  </si>
  <si>
    <t>何莉</t>
    <phoneticPr fontId="3" type="noConversion"/>
  </si>
  <si>
    <t>陈兰芳</t>
    <phoneticPr fontId="3" type="noConversion"/>
  </si>
  <si>
    <t>林娜</t>
  </si>
  <si>
    <t>单家玲</t>
  </si>
  <si>
    <t>叶丰丰</t>
  </si>
  <si>
    <t>吴宏青</t>
  </si>
  <si>
    <t>周秀莲</t>
  </si>
  <si>
    <t>李红梅</t>
  </si>
  <si>
    <t>万莉</t>
  </si>
  <si>
    <t>乔娟</t>
    <phoneticPr fontId="3" type="noConversion"/>
  </si>
  <si>
    <t>李梅1</t>
    <phoneticPr fontId="3" type="noConversion"/>
  </si>
  <si>
    <t>李永梅</t>
  </si>
  <si>
    <t>孙冬梅</t>
  </si>
  <si>
    <t>张爱玲</t>
  </si>
  <si>
    <t>周东枚</t>
    <phoneticPr fontId="3" type="noConversion"/>
  </si>
  <si>
    <t>杨华丽</t>
    <phoneticPr fontId="3" type="noConversion"/>
  </si>
  <si>
    <t>陈平</t>
    <phoneticPr fontId="3" type="noConversion"/>
  </si>
  <si>
    <t>侯园园</t>
    <phoneticPr fontId="3" type="noConversion"/>
  </si>
  <si>
    <t>夏君玲</t>
    <phoneticPr fontId="3" type="noConversion"/>
  </si>
  <si>
    <t>杨贵兰</t>
    <phoneticPr fontId="3" type="noConversion"/>
  </si>
  <si>
    <t>雷花妮</t>
    <phoneticPr fontId="3" type="noConversion"/>
  </si>
  <si>
    <t>张梅</t>
  </si>
  <si>
    <t>薛文云</t>
    <phoneticPr fontId="3" type="noConversion"/>
  </si>
  <si>
    <t>杜雪勤</t>
    <phoneticPr fontId="3" type="noConversion"/>
  </si>
  <si>
    <t>谢大灿</t>
    <phoneticPr fontId="3" type="noConversion"/>
  </si>
  <si>
    <t>齐亚丽</t>
    <phoneticPr fontId="3" type="noConversion"/>
  </si>
  <si>
    <t>孙艳梅</t>
    <phoneticPr fontId="3" type="noConversion"/>
  </si>
  <si>
    <t>侯钦菊</t>
    <phoneticPr fontId="3" type="noConversion"/>
  </si>
  <si>
    <t>何金鸽</t>
    <phoneticPr fontId="2" type="noConversion"/>
  </si>
  <si>
    <t>张步燕</t>
    <phoneticPr fontId="2" type="noConversion"/>
  </si>
  <si>
    <t>马彦平</t>
    <phoneticPr fontId="2" type="noConversion"/>
  </si>
  <si>
    <t>车辉岗</t>
    <phoneticPr fontId="2" type="noConversion"/>
  </si>
  <si>
    <t>蒋雨</t>
    <phoneticPr fontId="2" type="noConversion"/>
  </si>
  <si>
    <t>李道菊</t>
    <phoneticPr fontId="2" type="noConversion"/>
  </si>
  <si>
    <t>李玲芳</t>
    <phoneticPr fontId="2" type="noConversion"/>
  </si>
  <si>
    <t>宋防防</t>
    <phoneticPr fontId="2" type="noConversion"/>
  </si>
  <si>
    <t>张巧巧</t>
    <phoneticPr fontId="2" type="noConversion"/>
  </si>
  <si>
    <t>周雪平</t>
    <phoneticPr fontId="2" type="noConversion"/>
  </si>
  <si>
    <t>陈群</t>
    <phoneticPr fontId="2" type="noConversion"/>
  </si>
  <si>
    <t>谈红梅</t>
    <phoneticPr fontId="2" type="noConversion"/>
  </si>
  <si>
    <t>王术荣</t>
    <phoneticPr fontId="2" type="noConversion"/>
  </si>
  <si>
    <t>孙国琼</t>
    <phoneticPr fontId="2" type="noConversion"/>
  </si>
  <si>
    <t>赵超斌</t>
    <phoneticPr fontId="2" type="noConversion"/>
  </si>
  <si>
    <t>陶雪微</t>
    <phoneticPr fontId="2" type="noConversion"/>
  </si>
  <si>
    <t>代如荣</t>
    <phoneticPr fontId="2" type="noConversion"/>
  </si>
  <si>
    <t>包诗琴</t>
    <phoneticPr fontId="2" type="noConversion"/>
  </si>
  <si>
    <t>程玲</t>
    <phoneticPr fontId="2" type="noConversion"/>
  </si>
  <si>
    <t>赵宵</t>
    <phoneticPr fontId="2" type="noConversion"/>
  </si>
  <si>
    <t>王喜连</t>
    <phoneticPr fontId="2" type="noConversion"/>
  </si>
  <si>
    <t>耿冬梅</t>
    <phoneticPr fontId="3" type="noConversion"/>
  </si>
  <si>
    <t>工厂离合器线圈部件</t>
    <phoneticPr fontId="3" type="noConversion"/>
  </si>
  <si>
    <t>王兰霞</t>
    <phoneticPr fontId="3" type="noConversion"/>
  </si>
  <si>
    <t>陈良英</t>
  </si>
  <si>
    <t>洪丽华</t>
  </si>
  <si>
    <t>姚秀梅</t>
  </si>
  <si>
    <t>王会</t>
    <phoneticPr fontId="3" type="noConversion"/>
  </si>
  <si>
    <t>王凤云</t>
    <phoneticPr fontId="3" type="noConversion"/>
  </si>
  <si>
    <t>董玉侠</t>
    <phoneticPr fontId="3" type="noConversion"/>
  </si>
  <si>
    <t>焦小利</t>
    <phoneticPr fontId="3" type="noConversion"/>
  </si>
  <si>
    <t>李余丽</t>
    <phoneticPr fontId="3" type="noConversion"/>
  </si>
  <si>
    <t>安新花</t>
    <phoneticPr fontId="3" type="noConversion"/>
  </si>
  <si>
    <t>王苏琴</t>
    <phoneticPr fontId="3" type="noConversion"/>
  </si>
  <si>
    <t>杜婷婷</t>
    <phoneticPr fontId="3" type="noConversion"/>
  </si>
  <si>
    <t>王红雷</t>
    <phoneticPr fontId="3" type="noConversion"/>
  </si>
  <si>
    <t>杜克润</t>
    <phoneticPr fontId="3" type="noConversion"/>
  </si>
  <si>
    <t>秦会娟</t>
  </si>
  <si>
    <t>郑繁</t>
  </si>
  <si>
    <t>吴廷莉</t>
  </si>
  <si>
    <t>景旭珍</t>
    <phoneticPr fontId="2" type="noConversion"/>
  </si>
  <si>
    <t>吴明霞</t>
    <phoneticPr fontId="2" type="noConversion"/>
  </si>
  <si>
    <t>张健龙</t>
    <phoneticPr fontId="2" type="noConversion"/>
  </si>
  <si>
    <t>谢权</t>
    <phoneticPr fontId="2" type="noConversion"/>
  </si>
  <si>
    <t>金永格</t>
  </si>
  <si>
    <t>张丛慧</t>
    <phoneticPr fontId="2" type="noConversion"/>
  </si>
  <si>
    <t>王丽平</t>
    <phoneticPr fontId="2" type="noConversion"/>
  </si>
  <si>
    <t>黄敏</t>
    <phoneticPr fontId="2" type="noConversion"/>
  </si>
  <si>
    <t>何晓玲</t>
    <phoneticPr fontId="2" type="noConversion"/>
  </si>
  <si>
    <t>苏少飞</t>
    <phoneticPr fontId="2" type="noConversion"/>
  </si>
  <si>
    <t>曹丽</t>
    <phoneticPr fontId="2" type="noConversion"/>
  </si>
  <si>
    <t>马英英</t>
    <phoneticPr fontId="2" type="noConversion"/>
  </si>
  <si>
    <t>王小川</t>
    <phoneticPr fontId="2" type="noConversion"/>
  </si>
  <si>
    <t>甘维婷</t>
    <phoneticPr fontId="2" type="noConversion"/>
  </si>
  <si>
    <t>刘亚鸽</t>
    <phoneticPr fontId="2" type="noConversion"/>
  </si>
  <si>
    <t>杨娟</t>
    <phoneticPr fontId="2" type="noConversion"/>
  </si>
  <si>
    <t>张沙沙</t>
    <phoneticPr fontId="2" type="noConversion"/>
  </si>
  <si>
    <t>柳强强</t>
    <phoneticPr fontId="2" type="noConversion"/>
  </si>
  <si>
    <t>周平娥</t>
    <phoneticPr fontId="11" type="noConversion"/>
  </si>
  <si>
    <t>柳小彦</t>
    <phoneticPr fontId="11" type="noConversion"/>
  </si>
  <si>
    <t>孙庆</t>
    <phoneticPr fontId="11" type="noConversion"/>
  </si>
  <si>
    <t>谭凤琼</t>
  </si>
  <si>
    <t>工厂零件</t>
  </si>
  <si>
    <t>王万国</t>
  </si>
  <si>
    <t>周德华</t>
    <phoneticPr fontId="3" type="noConversion"/>
  </si>
  <si>
    <t>刘红莉</t>
    <phoneticPr fontId="3" type="noConversion"/>
  </si>
  <si>
    <t>江苏华</t>
    <phoneticPr fontId="3" type="noConversion"/>
  </si>
  <si>
    <t>方波</t>
    <phoneticPr fontId="3" type="noConversion"/>
  </si>
  <si>
    <t>谭健权</t>
    <phoneticPr fontId="3" type="noConversion"/>
  </si>
  <si>
    <t>工厂零件</t>
    <phoneticPr fontId="2" type="noConversion"/>
  </si>
  <si>
    <t>向家会</t>
    <phoneticPr fontId="3" type="noConversion"/>
  </si>
  <si>
    <t>向代灯</t>
  </si>
  <si>
    <t xml:space="preserve">工厂零件 </t>
  </si>
  <si>
    <t>陈坚</t>
  </si>
  <si>
    <t>杨丽丽</t>
    <phoneticPr fontId="3" type="noConversion"/>
  </si>
  <si>
    <t>孙永平</t>
    <phoneticPr fontId="3" type="noConversion"/>
  </si>
  <si>
    <t>钱信华</t>
    <phoneticPr fontId="3" type="noConversion"/>
  </si>
  <si>
    <t>肖金平</t>
    <phoneticPr fontId="3" type="noConversion"/>
  </si>
  <si>
    <t>贾世香</t>
    <phoneticPr fontId="3" type="noConversion"/>
  </si>
  <si>
    <t>石廷立</t>
    <phoneticPr fontId="3" type="noConversion"/>
  </si>
  <si>
    <t>刘健</t>
    <phoneticPr fontId="3" type="noConversion"/>
  </si>
  <si>
    <t>敬美玲</t>
    <phoneticPr fontId="3" type="noConversion"/>
  </si>
  <si>
    <t>李荣雷</t>
    <phoneticPr fontId="3" type="noConversion"/>
  </si>
  <si>
    <t>向代兴</t>
    <phoneticPr fontId="3" type="noConversion"/>
  </si>
  <si>
    <t>陈月佳</t>
    <phoneticPr fontId="3" type="noConversion"/>
  </si>
  <si>
    <t>娄玉杰</t>
    <phoneticPr fontId="3" type="noConversion"/>
  </si>
  <si>
    <t>夏桂英</t>
    <phoneticPr fontId="3" type="noConversion"/>
  </si>
  <si>
    <t>陈少波</t>
    <phoneticPr fontId="3" type="noConversion"/>
  </si>
  <si>
    <t>李德羽</t>
    <phoneticPr fontId="3" type="noConversion"/>
  </si>
  <si>
    <t>刘强</t>
    <phoneticPr fontId="3" type="noConversion"/>
  </si>
  <si>
    <t>何国满</t>
    <phoneticPr fontId="2" type="noConversion"/>
  </si>
  <si>
    <t>潘中华</t>
    <phoneticPr fontId="2" type="noConversion"/>
  </si>
  <si>
    <t>王霞</t>
    <phoneticPr fontId="2" type="noConversion"/>
  </si>
  <si>
    <t>赵平</t>
    <phoneticPr fontId="2" type="noConversion"/>
  </si>
  <si>
    <t>黄佳福</t>
    <phoneticPr fontId="2" type="noConversion"/>
  </si>
  <si>
    <t>张永浩</t>
    <phoneticPr fontId="2" type="noConversion"/>
  </si>
  <si>
    <t>褚长庆</t>
    <phoneticPr fontId="2" type="noConversion"/>
  </si>
  <si>
    <t>黄彬</t>
    <phoneticPr fontId="2" type="noConversion"/>
  </si>
  <si>
    <t>周于</t>
    <phoneticPr fontId="2" type="noConversion"/>
  </si>
  <si>
    <t>汤惠康</t>
    <phoneticPr fontId="2" type="noConversion"/>
  </si>
  <si>
    <t>冉月华</t>
    <phoneticPr fontId="2" type="noConversion"/>
  </si>
  <si>
    <t>序号</t>
  </si>
  <si>
    <t>公休(小时）</t>
    <phoneticPr fontId="3" type="noConversion"/>
  </si>
  <si>
    <t>换休小时</t>
    <phoneticPr fontId="3" type="noConversion"/>
  </si>
  <si>
    <t>费文育</t>
  </si>
  <si>
    <t>公  司</t>
    <phoneticPr fontId="3" type="noConversion"/>
  </si>
  <si>
    <t>薛洪芳</t>
  </si>
  <si>
    <t>夏斯雯</t>
  </si>
  <si>
    <t>王淑贞</t>
  </si>
  <si>
    <t>许惠男</t>
  </si>
  <si>
    <t>李明明</t>
    <phoneticPr fontId="3" type="noConversion"/>
  </si>
  <si>
    <t>许学峰</t>
    <phoneticPr fontId="3" type="noConversion"/>
  </si>
  <si>
    <t>采购部</t>
    <phoneticPr fontId="3" type="noConversion"/>
  </si>
  <si>
    <t>杨丽娜</t>
  </si>
  <si>
    <t>吕明稳</t>
  </si>
  <si>
    <t>朱晓萍</t>
  </si>
  <si>
    <t>顾志丽</t>
    <phoneticPr fontId="3" type="noConversion"/>
  </si>
  <si>
    <t>宦权刚</t>
  </si>
  <si>
    <t>陈佳仔</t>
    <phoneticPr fontId="2" type="noConversion"/>
  </si>
  <si>
    <t>财务部</t>
    <phoneticPr fontId="3" type="noConversion"/>
  </si>
  <si>
    <t>王培樑</t>
  </si>
  <si>
    <t>上海办</t>
    <phoneticPr fontId="3" type="noConversion"/>
  </si>
  <si>
    <t>孙坚</t>
  </si>
  <si>
    <t>李丽</t>
  </si>
  <si>
    <t>谭夫来</t>
    <phoneticPr fontId="3" type="noConversion"/>
  </si>
  <si>
    <t>王晓明</t>
    <phoneticPr fontId="3" type="noConversion"/>
  </si>
  <si>
    <t>吴晓华</t>
    <phoneticPr fontId="3" type="noConversion"/>
  </si>
  <si>
    <t>李靓晨</t>
    <phoneticPr fontId="3" type="noConversion"/>
  </si>
  <si>
    <t>许国良</t>
  </si>
  <si>
    <t>曹琪</t>
  </si>
  <si>
    <t>殷月珍</t>
  </si>
  <si>
    <t>王营营</t>
    <phoneticPr fontId="3" type="noConversion"/>
  </si>
  <si>
    <t>伊祖涛</t>
    <phoneticPr fontId="3" type="noConversion"/>
  </si>
  <si>
    <t>姜海华</t>
    <phoneticPr fontId="2" type="noConversion"/>
  </si>
  <si>
    <t>综合部</t>
    <phoneticPr fontId="3" type="noConversion"/>
  </si>
  <si>
    <t>张俊英</t>
  </si>
  <si>
    <t>技术中心技术管理部</t>
    <phoneticPr fontId="3" type="noConversion"/>
  </si>
  <si>
    <t>季静远</t>
    <phoneticPr fontId="3" type="noConversion"/>
  </si>
  <si>
    <t>金小东</t>
    <phoneticPr fontId="3" type="noConversion"/>
  </si>
  <si>
    <t>卢昭君</t>
    <phoneticPr fontId="3" type="noConversion"/>
  </si>
  <si>
    <t>王令</t>
    <phoneticPr fontId="2" type="noConversion"/>
  </si>
  <si>
    <t>技术中心信息工程部</t>
    <phoneticPr fontId="3" type="noConversion"/>
  </si>
  <si>
    <t>史云龙</t>
  </si>
  <si>
    <t>卢世军</t>
  </si>
  <si>
    <t>周冯青</t>
    <phoneticPr fontId="2" type="noConversion"/>
  </si>
  <si>
    <t>杨飘飘</t>
    <phoneticPr fontId="2" type="noConversion"/>
  </si>
  <si>
    <t>王琳琳</t>
    <phoneticPr fontId="3" type="noConversion"/>
  </si>
  <si>
    <t>技术中心产品工程一部</t>
    <phoneticPr fontId="2" type="noConversion"/>
  </si>
  <si>
    <t>陆新宇</t>
    <phoneticPr fontId="3" type="noConversion"/>
  </si>
  <si>
    <t>任洪</t>
    <phoneticPr fontId="3" type="noConversion"/>
  </si>
  <si>
    <t>魏艳青</t>
    <phoneticPr fontId="2" type="noConversion"/>
  </si>
  <si>
    <t>吕杨阳</t>
    <phoneticPr fontId="2" type="noConversion"/>
  </si>
  <si>
    <t>江涛</t>
    <phoneticPr fontId="2" type="noConversion"/>
  </si>
  <si>
    <t>技术中心产品工程二部</t>
    <phoneticPr fontId="2" type="noConversion"/>
  </si>
  <si>
    <t>颜玉亮</t>
    <phoneticPr fontId="3" type="noConversion"/>
  </si>
  <si>
    <t>曾金海</t>
    <phoneticPr fontId="2" type="noConversion"/>
  </si>
  <si>
    <t>季刚</t>
    <phoneticPr fontId="2" type="noConversion"/>
  </si>
  <si>
    <t>技术中心产品工程三部</t>
    <phoneticPr fontId="2" type="noConversion"/>
  </si>
  <si>
    <t>LOW KOK SENG</t>
  </si>
  <si>
    <t>吴太箭</t>
    <phoneticPr fontId="3" type="noConversion"/>
  </si>
  <si>
    <t>王杨扬</t>
    <phoneticPr fontId="3" type="noConversion"/>
  </si>
  <si>
    <t>孙明</t>
    <phoneticPr fontId="3" type="noConversion"/>
  </si>
  <si>
    <t>陈一帆</t>
    <phoneticPr fontId="3" type="noConversion"/>
  </si>
  <si>
    <t>朱定一</t>
    <phoneticPr fontId="2" type="noConversion"/>
  </si>
  <si>
    <t>胡翠华</t>
    <phoneticPr fontId="2" type="noConversion"/>
  </si>
  <si>
    <t>张翔建</t>
    <phoneticPr fontId="2" type="noConversion"/>
  </si>
  <si>
    <t>邢芳芳</t>
    <phoneticPr fontId="2" type="noConversion"/>
  </si>
  <si>
    <t>江莹旭</t>
    <phoneticPr fontId="2" type="noConversion"/>
  </si>
  <si>
    <t>储浩</t>
    <phoneticPr fontId="2" type="noConversion"/>
  </si>
  <si>
    <t>钟婧</t>
    <phoneticPr fontId="2" type="noConversion"/>
  </si>
  <si>
    <t>王光林</t>
    <phoneticPr fontId="2" type="noConversion"/>
  </si>
  <si>
    <t>陈伟</t>
    <phoneticPr fontId="2" type="noConversion"/>
  </si>
  <si>
    <t>技术中心产品工程五部</t>
    <phoneticPr fontId="2" type="noConversion"/>
  </si>
  <si>
    <t>金玉梅</t>
    <phoneticPr fontId="3" type="noConversion"/>
  </si>
  <si>
    <t>穆延存</t>
  </si>
  <si>
    <t>王梅芳</t>
  </si>
  <si>
    <t>姚建勤</t>
  </si>
  <si>
    <t>程元香</t>
  </si>
  <si>
    <t>黄艳</t>
  </si>
  <si>
    <t>张华明</t>
  </si>
  <si>
    <t>汤冬妹</t>
  </si>
  <si>
    <t>高永妹</t>
  </si>
  <si>
    <t>冯雪芳</t>
  </si>
  <si>
    <t>吕娅</t>
  </si>
  <si>
    <t>仇华妹</t>
  </si>
  <si>
    <t>范雪琴</t>
  </si>
  <si>
    <t>董光彩</t>
  </si>
  <si>
    <t>杨建红</t>
  </si>
  <si>
    <t>林玲</t>
  </si>
  <si>
    <t>王燕娥</t>
  </si>
  <si>
    <t>周青</t>
  </si>
  <si>
    <t>陈萍</t>
  </si>
  <si>
    <t>徐慧芳</t>
  </si>
  <si>
    <t>张春燕</t>
    <phoneticPr fontId="3" type="noConversion"/>
  </si>
  <si>
    <t>周建珍</t>
    <phoneticPr fontId="3" type="noConversion"/>
  </si>
  <si>
    <t>王伟昌</t>
  </si>
  <si>
    <t>万凯</t>
  </si>
  <si>
    <t>徐臻</t>
  </si>
  <si>
    <t>陈诚</t>
    <phoneticPr fontId="3" type="noConversion"/>
  </si>
  <si>
    <t>秦双双</t>
  </si>
  <si>
    <t>李东景</t>
  </si>
  <si>
    <t>秦鹏</t>
    <phoneticPr fontId="2" type="noConversion"/>
  </si>
  <si>
    <t>吴玲花</t>
    <phoneticPr fontId="2" type="noConversion"/>
  </si>
  <si>
    <t>张世纳</t>
    <phoneticPr fontId="2" type="noConversion"/>
  </si>
  <si>
    <t>吴琼英</t>
    <phoneticPr fontId="2" type="noConversion"/>
  </si>
  <si>
    <t>熊华玮</t>
    <phoneticPr fontId="2" type="noConversion"/>
  </si>
  <si>
    <t>陈晓建</t>
    <phoneticPr fontId="2" type="noConversion"/>
  </si>
  <si>
    <t>李欢</t>
    <phoneticPr fontId="2" type="noConversion"/>
  </si>
  <si>
    <t>吕徐卫</t>
    <phoneticPr fontId="2" type="noConversion"/>
  </si>
  <si>
    <t>朱曙花</t>
    <phoneticPr fontId="2" type="noConversion"/>
  </si>
  <si>
    <t>质保部</t>
    <phoneticPr fontId="3" type="noConversion"/>
  </si>
  <si>
    <t>谢飞</t>
    <phoneticPr fontId="2" type="noConversion"/>
  </si>
  <si>
    <t>穆延杰</t>
  </si>
  <si>
    <t>朱荣</t>
  </si>
  <si>
    <t>汪冬英</t>
  </si>
  <si>
    <t>王肃清</t>
  </si>
  <si>
    <t>陶健</t>
  </si>
  <si>
    <t>徐菊英</t>
  </si>
  <si>
    <t>贺仁礼</t>
  </si>
  <si>
    <t>李秀华</t>
    <phoneticPr fontId="3" type="noConversion"/>
  </si>
  <si>
    <t>吕金牛</t>
    <phoneticPr fontId="2" type="noConversion"/>
  </si>
  <si>
    <t>戈春华</t>
    <phoneticPr fontId="2" type="noConversion"/>
  </si>
  <si>
    <t>史阔辉</t>
    <phoneticPr fontId="2" type="noConversion"/>
  </si>
  <si>
    <t>徐晓斌</t>
  </si>
  <si>
    <t>陈利华</t>
  </si>
  <si>
    <t>贺仁喜</t>
  </si>
  <si>
    <t>俞旭</t>
    <phoneticPr fontId="3" type="noConversion"/>
  </si>
  <si>
    <t>徐婉钧</t>
    <phoneticPr fontId="3" type="noConversion"/>
  </si>
  <si>
    <t>刘卫迁</t>
    <phoneticPr fontId="3" type="noConversion"/>
  </si>
  <si>
    <t>言国峰</t>
  </si>
  <si>
    <t>陆永发</t>
  </si>
  <si>
    <t>陈其云</t>
  </si>
  <si>
    <t>刘奇</t>
    <phoneticPr fontId="2" type="noConversion"/>
  </si>
  <si>
    <t>王景国</t>
    <phoneticPr fontId="2" type="noConversion"/>
  </si>
  <si>
    <t>肖志军</t>
    <phoneticPr fontId="2" type="noConversion"/>
  </si>
  <si>
    <t>彭霆</t>
    <phoneticPr fontId="2" type="noConversion"/>
  </si>
  <si>
    <t>孙杰</t>
    <phoneticPr fontId="2" type="noConversion"/>
  </si>
  <si>
    <t>吴伟</t>
    <phoneticPr fontId="2" type="noConversion"/>
  </si>
  <si>
    <t>工厂装备部</t>
    <phoneticPr fontId="3" type="noConversion"/>
  </si>
  <si>
    <t>丁景洋</t>
  </si>
  <si>
    <t>吕莉</t>
  </si>
  <si>
    <t>蔡麒麒</t>
  </si>
  <si>
    <t>王伟</t>
  </si>
  <si>
    <t>张雪明</t>
    <phoneticPr fontId="3" type="noConversion"/>
  </si>
  <si>
    <t>刘冬松</t>
    <phoneticPr fontId="3" type="noConversion"/>
  </si>
  <si>
    <t>罗子豪</t>
    <phoneticPr fontId="3" type="noConversion"/>
  </si>
  <si>
    <t>朱云鹏</t>
  </si>
  <si>
    <t>胡朝勇</t>
  </si>
  <si>
    <t>汪旭东</t>
  </si>
  <si>
    <t>崔景卫</t>
  </si>
  <si>
    <t>陆文涛</t>
  </si>
  <si>
    <t>吴军</t>
  </si>
  <si>
    <t>周建业</t>
  </si>
  <si>
    <t>施政卫</t>
    <phoneticPr fontId="3" type="noConversion"/>
  </si>
  <si>
    <t>李南桂</t>
  </si>
  <si>
    <t>余红亮</t>
    <phoneticPr fontId="2" type="noConversion"/>
  </si>
  <si>
    <t>丁云辉</t>
    <phoneticPr fontId="2" type="noConversion"/>
  </si>
  <si>
    <t>王波</t>
    <phoneticPr fontId="3" type="noConversion"/>
  </si>
  <si>
    <t>工厂生产制造部</t>
    <phoneticPr fontId="3" type="noConversion"/>
  </si>
  <si>
    <t>余剑</t>
  </si>
  <si>
    <t>王建珍</t>
  </si>
  <si>
    <t>王玉妹</t>
  </si>
  <si>
    <t>王道静</t>
  </si>
  <si>
    <t>宋新尧</t>
    <phoneticPr fontId="3" type="noConversion"/>
  </si>
  <si>
    <t>王宗秀</t>
    <phoneticPr fontId="2" type="noConversion"/>
  </si>
  <si>
    <t>刘二楼</t>
    <phoneticPr fontId="2" type="noConversion"/>
  </si>
  <si>
    <t>曹化艳</t>
    <phoneticPr fontId="2" type="noConversion"/>
  </si>
  <si>
    <t>凌晨</t>
    <phoneticPr fontId="2" type="noConversion"/>
  </si>
  <si>
    <t>工厂离合器</t>
    <phoneticPr fontId="3" type="noConversion"/>
  </si>
  <si>
    <t>张根才</t>
  </si>
  <si>
    <t>马义</t>
    <phoneticPr fontId="2" type="noConversion"/>
  </si>
  <si>
    <t>史云培</t>
    <phoneticPr fontId="2" type="noConversion"/>
  </si>
  <si>
    <t>刘昌玉</t>
    <phoneticPr fontId="2" type="noConversion"/>
  </si>
  <si>
    <t>工厂零件</t>
    <phoneticPr fontId="3" type="noConversion"/>
  </si>
  <si>
    <t>王梅芳1</t>
  </si>
  <si>
    <t>郑飞</t>
    <phoneticPr fontId="3" type="noConversion"/>
  </si>
  <si>
    <t>刘道珍</t>
  </si>
  <si>
    <t>刘小毅</t>
  </si>
  <si>
    <t>王燕</t>
  </si>
  <si>
    <t>何益林</t>
  </si>
  <si>
    <t>张秋红</t>
  </si>
  <si>
    <t>朱家芬</t>
  </si>
  <si>
    <t>张友俊</t>
  </si>
  <si>
    <t>张桂侠</t>
  </si>
  <si>
    <t>倪秀琼</t>
  </si>
  <si>
    <t>李梅</t>
  </si>
  <si>
    <t xml:space="preserve">                                  </t>
    <phoneticPr fontId="3" type="noConversion"/>
  </si>
  <si>
    <t>朱新玉</t>
  </si>
  <si>
    <t>朱杨花</t>
  </si>
  <si>
    <t>尹丽敏</t>
    <phoneticPr fontId="3" type="noConversion"/>
  </si>
  <si>
    <t>吕翠霞</t>
    <phoneticPr fontId="2" type="noConversion"/>
  </si>
  <si>
    <t>工厂控制阀</t>
    <phoneticPr fontId="3" type="noConversion"/>
  </si>
  <si>
    <t>魏苏俊</t>
    <phoneticPr fontId="2" type="noConversion"/>
  </si>
  <si>
    <t>2019/1/2由临时工转正</t>
    <phoneticPr fontId="2" type="noConversion"/>
  </si>
  <si>
    <t>2020/1/3离职</t>
    <phoneticPr fontId="2" type="noConversion"/>
  </si>
  <si>
    <t>2020/1/9离职</t>
    <phoneticPr fontId="2" type="noConversion"/>
  </si>
  <si>
    <t>2020/1/8离职</t>
    <phoneticPr fontId="2" type="noConversion"/>
  </si>
  <si>
    <t>2020/1/6离职</t>
    <phoneticPr fontId="2" type="noConversion"/>
  </si>
  <si>
    <t>2020/1/22退休</t>
    <phoneticPr fontId="2" type="noConversion"/>
  </si>
  <si>
    <t>2020/1/19退休</t>
    <phoneticPr fontId="2" type="noConversion"/>
  </si>
  <si>
    <t>2020/1/17退休</t>
    <phoneticPr fontId="2" type="noConversion"/>
  </si>
  <si>
    <t>2020年1月份考勤及就餐（1月1日、25日、26日、27日国假肆天，23日、31日公休贰天）</t>
    <phoneticPr fontId="3" type="noConversion"/>
  </si>
  <si>
    <t>16    2020/1/14退休</t>
    <phoneticPr fontId="2" type="noConversion"/>
  </si>
  <si>
    <t>全月病假</t>
    <phoneticPr fontId="2" type="noConversion"/>
  </si>
  <si>
    <t>请补上月漏报60小时双休加班</t>
    <phoneticPr fontId="2" type="noConversion"/>
  </si>
  <si>
    <t>护理假120</t>
    <phoneticPr fontId="2" type="noConversion"/>
  </si>
  <si>
    <t>婚假72</t>
    <phoneticPr fontId="2" type="noConversion"/>
  </si>
  <si>
    <t>产检5</t>
    <phoneticPr fontId="2" type="noConversion"/>
  </si>
  <si>
    <t>丧假24</t>
    <phoneticPr fontId="2" type="noConversion"/>
  </si>
  <si>
    <t>婚假80</t>
    <phoneticPr fontId="2" type="noConversion"/>
  </si>
  <si>
    <t>全月事假</t>
    <phoneticPr fontId="2" type="noConversion"/>
  </si>
  <si>
    <t>产假152</t>
    <phoneticPr fontId="2" type="noConversion"/>
  </si>
  <si>
    <t>丧假24</t>
    <phoneticPr fontId="2" type="noConversion"/>
  </si>
  <si>
    <t>2020/1/17离职</t>
    <phoneticPr fontId="2" type="noConversion"/>
  </si>
  <si>
    <t>2020年2月份考勤及就餐</t>
    <phoneticPr fontId="3" type="noConversion"/>
  </si>
  <si>
    <t>夏勇</t>
    <phoneticPr fontId="2" type="noConversion"/>
  </si>
  <si>
    <t>2020/2/29离职</t>
    <phoneticPr fontId="2" type="noConversion"/>
  </si>
  <si>
    <t>已自离，工资暂停</t>
  </si>
  <si>
    <t>全月产假</t>
    <phoneticPr fontId="2" type="noConversion"/>
  </si>
  <si>
    <t>2020/2/29自离，工资暂停</t>
    <phoneticPr fontId="2" type="noConversion"/>
  </si>
  <si>
    <t>2020年2月25日由临时工转正</t>
    <phoneticPr fontId="2" type="noConversion"/>
  </si>
  <si>
    <t>护理假120</t>
    <phoneticPr fontId="2" type="noConversion"/>
  </si>
  <si>
    <t>已离职，请补16小时延时、12小时双休加班费用</t>
    <phoneticPr fontId="2" type="noConversion"/>
  </si>
  <si>
    <t>已离职，请补12小时延时、12小时双休加班费用</t>
    <phoneticPr fontId="2" type="noConversion"/>
  </si>
  <si>
    <t>已离职，漏报8小时延时、8小时双休加班，上月已补</t>
    <phoneticPr fontId="2" type="noConversion"/>
  </si>
  <si>
    <t>已离职，请补上月未报32小时延时、28小时双休加班费用</t>
    <phoneticPr fontId="2" type="noConversion"/>
  </si>
  <si>
    <t>本月发基本工资，无绩效</t>
    <phoneticPr fontId="2" type="noConversion"/>
  </si>
  <si>
    <t>已自离，工资暂停</t>
    <phoneticPr fontId="2" type="noConversion"/>
  </si>
  <si>
    <t>补32小时双休加班</t>
    <phoneticPr fontId="2" type="noConversion"/>
  </si>
  <si>
    <t>2月无工资</t>
    <phoneticPr fontId="2" type="noConversion"/>
  </si>
  <si>
    <t>自离，工资暂停</t>
    <phoneticPr fontId="2" type="noConversion"/>
  </si>
  <si>
    <t>2020年3月份考勤及就餐</t>
    <phoneticPr fontId="3" type="noConversion"/>
  </si>
  <si>
    <t>2020年3份考勤及就餐</t>
    <phoneticPr fontId="3" type="noConversion"/>
  </si>
  <si>
    <t>王鑫家</t>
    <phoneticPr fontId="2" type="noConversion"/>
  </si>
  <si>
    <t>2020/3/9入职</t>
    <phoneticPr fontId="2" type="noConversion"/>
  </si>
  <si>
    <t>2020/3/27离职</t>
    <phoneticPr fontId="2" type="noConversion"/>
  </si>
  <si>
    <t>2020/3/20离职，本月无工资</t>
    <phoneticPr fontId="2" type="noConversion"/>
  </si>
  <si>
    <t>2020/3/18离职，本月无工资</t>
    <phoneticPr fontId="2" type="noConversion"/>
  </si>
  <si>
    <t>2020/3/23离职</t>
    <phoneticPr fontId="2" type="noConversion"/>
  </si>
  <si>
    <t>2020/3/24离职，已结算完</t>
    <phoneticPr fontId="2" type="noConversion"/>
  </si>
  <si>
    <t>2020/3/31离职</t>
    <phoneticPr fontId="2" type="noConversion"/>
  </si>
  <si>
    <t>刘华</t>
    <phoneticPr fontId="2" type="noConversion"/>
  </si>
  <si>
    <t>2020/3/30离职</t>
    <phoneticPr fontId="2" type="noConversion"/>
  </si>
  <si>
    <t>2020/3/11离职，已结算完</t>
    <phoneticPr fontId="2" type="noConversion"/>
  </si>
  <si>
    <t>2020/3/31离职</t>
    <phoneticPr fontId="2" type="noConversion"/>
  </si>
  <si>
    <t>3月1-11日按最低工资标准80%计薪</t>
    <phoneticPr fontId="2" type="noConversion"/>
  </si>
  <si>
    <t>3月1-13日按最低工资标准80%计薪</t>
    <phoneticPr fontId="2" type="noConversion"/>
  </si>
  <si>
    <t>3月1-20日按最低工资标准80%计薪</t>
    <phoneticPr fontId="2" type="noConversion"/>
  </si>
  <si>
    <t>3月1-13日按最低工资标准80%计薪</t>
    <phoneticPr fontId="2" type="noConversion"/>
  </si>
  <si>
    <t>3月1-18日按最低工资标准80%计薪，19-31日还2月欠班，无工资</t>
    <phoneticPr fontId="2" type="noConversion"/>
  </si>
  <si>
    <t>3月1-27日按最低工资标准80%计薪</t>
    <phoneticPr fontId="2" type="noConversion"/>
  </si>
  <si>
    <t>3月1-16日按最低工资标准80%计薪</t>
    <phoneticPr fontId="2" type="noConversion"/>
  </si>
  <si>
    <t>产检12，产假72</t>
    <phoneticPr fontId="2" type="noConversion"/>
  </si>
  <si>
    <t>护理假56</t>
    <phoneticPr fontId="2" type="noConversion"/>
  </si>
  <si>
    <t>本月无工资</t>
    <phoneticPr fontId="2" type="noConversion"/>
  </si>
  <si>
    <t>计划生育16</t>
    <phoneticPr fontId="2" type="noConversion"/>
  </si>
  <si>
    <t>8      2020/3/17离职</t>
    <phoneticPr fontId="2" type="noConversion"/>
  </si>
  <si>
    <t>旷工24</t>
    <phoneticPr fontId="2" type="noConversion"/>
  </si>
  <si>
    <t>计划生育64</t>
    <phoneticPr fontId="2" type="noConversion"/>
  </si>
  <si>
    <t>护理假120</t>
    <phoneticPr fontId="2" type="noConversion"/>
  </si>
  <si>
    <t>2020年4月份考勤及就餐（4月4日国假壹天）</t>
    <phoneticPr fontId="3" type="noConversion"/>
  </si>
  <si>
    <t>徐亚奥</t>
    <phoneticPr fontId="2" type="noConversion"/>
  </si>
  <si>
    <t>2020/4/1入职</t>
    <phoneticPr fontId="2" type="noConversion"/>
  </si>
  <si>
    <t>孙成</t>
    <phoneticPr fontId="2" type="noConversion"/>
  </si>
  <si>
    <t>2020/4/1由短期工转正</t>
    <phoneticPr fontId="2" type="noConversion"/>
  </si>
  <si>
    <t>夏娟</t>
    <phoneticPr fontId="2" type="noConversion"/>
  </si>
  <si>
    <t>2020/4/28入职</t>
    <phoneticPr fontId="2" type="noConversion"/>
  </si>
  <si>
    <t>杜国述</t>
    <phoneticPr fontId="2" type="noConversion"/>
  </si>
  <si>
    <t>贾世香</t>
    <phoneticPr fontId="2" type="noConversion"/>
  </si>
  <si>
    <t>张建伟</t>
    <phoneticPr fontId="2" type="noConversion"/>
  </si>
  <si>
    <t>江梅梅</t>
    <phoneticPr fontId="2" type="noConversion"/>
  </si>
  <si>
    <t>2020/4/21入职</t>
    <phoneticPr fontId="2" type="noConversion"/>
  </si>
  <si>
    <t>2020/4/22入职，4/27离职</t>
    <phoneticPr fontId="2" type="noConversion"/>
  </si>
  <si>
    <t>2020/4/29入职</t>
    <phoneticPr fontId="2" type="noConversion"/>
  </si>
  <si>
    <t>2020/4/10离职</t>
    <phoneticPr fontId="2" type="noConversion"/>
  </si>
  <si>
    <t>2020/4/30离职</t>
    <phoneticPr fontId="2" type="noConversion"/>
  </si>
  <si>
    <t>2020/4/7离职</t>
    <phoneticPr fontId="2" type="noConversion"/>
  </si>
  <si>
    <t>2020/4/9离职</t>
    <phoneticPr fontId="2" type="noConversion"/>
  </si>
  <si>
    <t>李余丽</t>
    <phoneticPr fontId="2" type="noConversion"/>
  </si>
  <si>
    <t>2020/4/9离职，本月无工资</t>
    <phoneticPr fontId="2" type="noConversion"/>
  </si>
  <si>
    <t>2020/4/24离职</t>
    <phoneticPr fontId="2" type="noConversion"/>
  </si>
  <si>
    <t>2020/4/17离职</t>
    <phoneticPr fontId="2" type="noConversion"/>
  </si>
  <si>
    <t>2020/4/7离职，本月无工资</t>
    <phoneticPr fontId="2" type="noConversion"/>
  </si>
  <si>
    <t>2020/4/20离职</t>
    <phoneticPr fontId="2" type="noConversion"/>
  </si>
  <si>
    <t>2020/4/29离职</t>
    <phoneticPr fontId="2" type="noConversion"/>
  </si>
  <si>
    <t>工伤85</t>
    <phoneticPr fontId="2" type="noConversion"/>
  </si>
  <si>
    <t>公假24</t>
    <phoneticPr fontId="2" type="noConversion"/>
  </si>
  <si>
    <t>护理假72</t>
    <phoneticPr fontId="2" type="noConversion"/>
  </si>
  <si>
    <t>公假32</t>
    <phoneticPr fontId="2" type="noConversion"/>
  </si>
  <si>
    <t>公假32</t>
    <phoneticPr fontId="2" type="noConversion"/>
  </si>
  <si>
    <t>计划生育24</t>
    <phoneticPr fontId="2" type="noConversion"/>
  </si>
  <si>
    <t>3月1-20日按最低工资标准80%计薪，请扣期间与调休的差额</t>
    <phoneticPr fontId="2" type="noConversion"/>
  </si>
  <si>
    <t>已离职，请补上月漏发48小时延时、40小时双休加班</t>
    <phoneticPr fontId="2" type="noConversion"/>
  </si>
  <si>
    <t>产检8</t>
    <phoneticPr fontId="2" type="noConversion"/>
  </si>
  <si>
    <t>产假16</t>
    <phoneticPr fontId="2" type="noConversion"/>
  </si>
  <si>
    <t>计划生育240</t>
    <phoneticPr fontId="2" type="noConversion"/>
  </si>
</sst>
</file>

<file path=xl/styles.xml><?xml version="1.0" encoding="utf-8"?>
<styleSheet xmlns="http://schemas.openxmlformats.org/spreadsheetml/2006/main">
  <numFmts count="2">
    <numFmt numFmtId="176" formatCode="0.00_);[Red]\(0.00\)"/>
    <numFmt numFmtId="177" formatCode="yyyy\-mm\-dd"/>
  </numFmts>
  <fonts count="21">
    <font>
      <sz val="11"/>
      <color theme="1"/>
      <name val="宋体"/>
      <family val="2"/>
      <charset val="134"/>
      <scheme val="minor"/>
    </font>
    <font>
      <sz val="22"/>
      <color indexed="8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indexed="10"/>
      <name val="宋体"/>
      <family val="3"/>
      <charset val="134"/>
    </font>
    <font>
      <sz val="24"/>
      <name val="宋体"/>
      <family val="3"/>
      <charset val="134"/>
    </font>
    <font>
      <sz val="9"/>
      <color indexed="8"/>
      <name val="宋体"/>
      <family val="3"/>
      <charset val="134"/>
    </font>
    <font>
      <sz val="10"/>
      <name val="宋体"/>
      <charset val="134"/>
    </font>
    <font>
      <sz val="9"/>
      <name val="宋体"/>
      <charset val="134"/>
    </font>
    <font>
      <sz val="10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b/>
      <sz val="14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4" fillId="0" borderId="0" xfId="0" applyFont="1" applyFill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  <protection locked="0"/>
    </xf>
    <xf numFmtId="0" fontId="5" fillId="0" borderId="2" xfId="0" applyNumberFormat="1" applyFont="1" applyFill="1" applyBorder="1" applyAlignment="1" applyProtection="1">
      <alignment horizontal="left" vertical="center"/>
      <protection locked="0"/>
    </xf>
    <xf numFmtId="0" fontId="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176" fontId="5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Fill="1" applyBorder="1" applyAlignment="1" applyProtection="1">
      <alignment horizontal="center" vertical="center" wrapText="1"/>
      <protection locked="0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left" vertical="center"/>
    </xf>
    <xf numFmtId="0" fontId="5" fillId="0" borderId="3" xfId="0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77" fontId="5" fillId="0" borderId="3" xfId="0" applyNumberFormat="1" applyFont="1" applyFill="1" applyBorder="1" applyAlignment="1">
      <alignment horizontal="center" vertical="center"/>
    </xf>
    <xf numFmtId="14" fontId="5" fillId="0" borderId="3" xfId="0" applyNumberFormat="1" applyFont="1" applyFill="1" applyBorder="1" applyAlignment="1">
      <alignment horizontal="left" vertical="center"/>
    </xf>
    <xf numFmtId="0" fontId="0" fillId="0" borderId="3" xfId="0" applyNumberFormat="1" applyBorder="1">
      <alignment vertical="center"/>
    </xf>
    <xf numFmtId="0" fontId="4" fillId="0" borderId="3" xfId="0" applyNumberFormat="1" applyFont="1" applyFill="1" applyBorder="1" applyAlignment="1" applyProtection="1">
      <alignment horizontal="center" vertical="center"/>
      <protection locked="0"/>
    </xf>
    <xf numFmtId="0" fontId="6" fillId="0" borderId="3" xfId="0" applyNumberFormat="1" applyFont="1" applyFill="1" applyBorder="1" applyAlignment="1" applyProtection="1">
      <alignment horizontal="center" vertical="center"/>
    </xf>
    <xf numFmtId="0" fontId="6" fillId="0" borderId="3" xfId="0" applyNumberFormat="1" applyFont="1" applyFill="1" applyBorder="1" applyAlignment="1" applyProtection="1">
      <alignment horizontal="center" vertical="center"/>
      <protection locked="0"/>
    </xf>
    <xf numFmtId="0" fontId="5" fillId="0" borderId="3" xfId="0" applyFont="1" applyFill="1" applyBorder="1" applyAlignment="1" applyProtection="1">
      <alignment horizontal="center" vertical="center" shrinkToFit="1"/>
      <protection locked="0"/>
    </xf>
    <xf numFmtId="0" fontId="5" fillId="0" borderId="3" xfId="0" applyNumberFormat="1" applyFont="1" applyFill="1" applyBorder="1" applyAlignment="1" applyProtection="1">
      <alignment horizontal="left" vertical="center"/>
      <protection locked="0"/>
    </xf>
    <xf numFmtId="0" fontId="5" fillId="0" borderId="3" xfId="0" applyNumberFormat="1" applyFont="1" applyFill="1" applyBorder="1" applyAlignment="1" applyProtection="1">
      <alignment horizontal="center" vertical="center"/>
      <protection locked="0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6" fillId="0" borderId="3" xfId="0" applyFont="1" applyFill="1" applyBorder="1" applyAlignment="1" applyProtection="1">
      <alignment horizontal="center" vertical="center"/>
    </xf>
    <xf numFmtId="0" fontId="6" fillId="0" borderId="0" xfId="0" applyFont="1" applyFill="1" applyAlignment="1" applyProtection="1">
      <alignment horizontal="center" vertical="center"/>
      <protection locked="0"/>
    </xf>
    <xf numFmtId="0" fontId="5" fillId="0" borderId="3" xfId="0" applyFont="1" applyFill="1" applyBorder="1" applyAlignment="1" applyProtection="1">
      <alignment horizontal="center" vertical="center"/>
      <protection locked="0"/>
    </xf>
    <xf numFmtId="0" fontId="6" fillId="0" borderId="3" xfId="0" applyFont="1" applyFill="1" applyBorder="1" applyAlignment="1" applyProtection="1">
      <alignment horizontal="center" vertical="center"/>
      <protection locked="0"/>
    </xf>
    <xf numFmtId="0" fontId="4" fillId="0" borderId="3" xfId="0" applyFont="1" applyFill="1" applyBorder="1" applyAlignment="1" applyProtection="1">
      <alignment horizontal="center" vertical="center"/>
      <protection locked="0"/>
    </xf>
    <xf numFmtId="49" fontId="5" fillId="0" borderId="3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left" vertical="center"/>
      <protection locked="0"/>
    </xf>
    <xf numFmtId="177" fontId="5" fillId="0" borderId="3" xfId="0" applyNumberFormat="1" applyFont="1" applyFill="1" applyBorder="1" applyAlignment="1" applyProtection="1">
      <alignment horizontal="center" vertical="center"/>
      <protection locked="0"/>
    </xf>
    <xf numFmtId="0" fontId="7" fillId="0" borderId="3" xfId="0" applyNumberFormat="1" applyFont="1" applyFill="1" applyBorder="1" applyAlignment="1" applyProtection="1">
      <alignment horizontal="center" vertical="center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8" fillId="0" borderId="0" xfId="0" applyFont="1" applyFill="1" applyAlignment="1" applyProtection="1">
      <alignment vertical="center"/>
      <protection locked="0"/>
    </xf>
    <xf numFmtId="0" fontId="3" fillId="0" borderId="3" xfId="0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 applyProtection="1">
      <alignment horizontal="left" vertical="center"/>
      <protection locked="0"/>
    </xf>
    <xf numFmtId="14" fontId="4" fillId="0" borderId="3" xfId="0" applyNumberFormat="1" applyFont="1" applyFill="1" applyBorder="1" applyAlignment="1" applyProtection="1">
      <alignment horizontal="left" vertical="center"/>
      <protection locked="0"/>
    </xf>
    <xf numFmtId="0" fontId="10" fillId="0" borderId="3" xfId="0" applyFont="1" applyBorder="1" applyAlignment="1">
      <alignment horizontal="center" vertical="center"/>
    </xf>
    <xf numFmtId="0" fontId="4" fillId="0" borderId="3" xfId="0" applyNumberFormat="1" applyFont="1" applyFill="1" applyBorder="1" applyAlignment="1" applyProtection="1">
      <alignment horizontal="left" vertical="center" wrapText="1"/>
      <protection locked="0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NumberFormat="1" applyFont="1" applyAlignment="1">
      <alignment horizontal="left" vertical="center"/>
    </xf>
    <xf numFmtId="0" fontId="0" fillId="0" borderId="0" xfId="0" applyNumberForma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5" fillId="0" borderId="3" xfId="0" applyNumberFormat="1" applyFont="1" applyFill="1" applyBorder="1" applyAlignment="1" applyProtection="1">
      <alignment horizontal="left" vertical="center"/>
    </xf>
    <xf numFmtId="0" fontId="5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3" xfId="0" applyNumberFormat="1" applyFont="1" applyFill="1" applyBorder="1" applyAlignment="1" applyProtection="1">
      <alignment horizontal="center" vertical="center" wrapText="1"/>
      <protection locked="0"/>
    </xf>
    <xf numFmtId="49" fontId="5" fillId="0" borderId="3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3" xfId="0" applyNumberFormat="1" applyFont="1" applyFill="1" applyBorder="1" applyAlignment="1" applyProtection="1">
      <alignment horizontal="center" vertical="center"/>
      <protection locked="0"/>
    </xf>
    <xf numFmtId="176" fontId="5" fillId="0" borderId="3" xfId="0" applyNumberFormat="1" applyFont="1" applyFill="1" applyBorder="1" applyAlignment="1" applyProtection="1">
      <alignment horizontal="center" vertical="center"/>
      <protection locked="0"/>
    </xf>
    <xf numFmtId="0" fontId="17" fillId="0" borderId="3" xfId="0" applyFont="1" applyFill="1" applyBorder="1" applyAlignment="1" applyProtection="1">
      <alignment horizontal="left" vertical="center"/>
      <protection locked="0"/>
    </xf>
    <xf numFmtId="0" fontId="18" fillId="0" borderId="3" xfId="0" applyFont="1" applyFill="1" applyBorder="1" applyAlignment="1" applyProtection="1">
      <alignment horizontal="center" vertical="center"/>
      <protection locked="0"/>
    </xf>
    <xf numFmtId="0" fontId="18" fillId="0" borderId="3" xfId="0" applyNumberFormat="1" applyFont="1" applyFill="1" applyBorder="1" applyAlignment="1" applyProtection="1">
      <alignment horizontal="left" vertical="center"/>
      <protection locked="0"/>
    </xf>
    <xf numFmtId="0" fontId="4" fillId="0" borderId="3" xfId="0" applyNumberFormat="1" applyFont="1" applyFill="1" applyBorder="1" applyAlignment="1" applyProtection="1">
      <alignment horizontal="left" vertical="center"/>
    </xf>
    <xf numFmtId="49" fontId="6" fillId="0" borderId="3" xfId="0" applyNumberFormat="1" applyFont="1" applyFill="1" applyBorder="1" applyAlignment="1" applyProtection="1">
      <alignment horizontal="center" vertical="center"/>
      <protection locked="0"/>
    </xf>
    <xf numFmtId="49" fontId="4" fillId="0" borderId="3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NumberFormat="1" applyFont="1" applyFill="1" applyAlignment="1" applyProtection="1">
      <alignment horizontal="left" vertical="center"/>
      <protection locked="0"/>
    </xf>
    <xf numFmtId="0" fontId="4" fillId="0" borderId="3" xfId="0" applyFont="1" applyFill="1" applyBorder="1" applyAlignment="1" applyProtection="1">
      <alignment horizontal="center" vertical="center" shrinkToFit="1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center" vertical="center"/>
      <protection locked="0"/>
    </xf>
    <xf numFmtId="0" fontId="4" fillId="0" borderId="4" xfId="0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Alignment="1" applyProtection="1">
      <alignment horizontal="center" vertical="center"/>
      <protection locked="0"/>
    </xf>
    <xf numFmtId="49" fontId="6" fillId="0" borderId="0" xfId="0" applyNumberFormat="1" applyFont="1" applyFill="1" applyAlignment="1" applyProtection="1">
      <alignment horizontal="center" vertical="center"/>
      <protection locked="0"/>
    </xf>
    <xf numFmtId="49" fontId="4" fillId="0" borderId="0" xfId="0" applyNumberFormat="1" applyFont="1" applyFill="1" applyAlignment="1" applyProtection="1">
      <alignment horizontal="center" vertical="center"/>
      <protection locked="0"/>
    </xf>
    <xf numFmtId="0" fontId="7" fillId="0" borderId="0" xfId="0" applyNumberFormat="1" applyFont="1" applyFill="1" applyAlignment="1" applyProtection="1">
      <alignment horizontal="center" vertical="center"/>
      <protection locked="0"/>
    </xf>
    <xf numFmtId="14" fontId="4" fillId="0" borderId="3" xfId="0" applyNumberFormat="1" applyFont="1" applyFill="1" applyBorder="1" applyAlignment="1">
      <alignment horizontal="left" vertical="center"/>
    </xf>
    <xf numFmtId="0" fontId="5" fillId="0" borderId="3" xfId="0" applyNumberFormat="1" applyFont="1" applyFill="1" applyBorder="1" applyAlignment="1" applyProtection="1">
      <alignment vertical="center"/>
      <protection locked="0"/>
    </xf>
    <xf numFmtId="0" fontId="6" fillId="0" borderId="5" xfId="0" applyNumberFormat="1" applyFont="1" applyFill="1" applyBorder="1" applyAlignment="1" applyProtection="1">
      <alignment horizontal="center" vertical="center"/>
      <protection locked="0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5" fillId="3" borderId="3" xfId="0" applyNumberFormat="1" applyFont="1" applyFill="1" applyBorder="1" applyAlignment="1">
      <alignment horizontal="left" vertical="center"/>
    </xf>
    <xf numFmtId="0" fontId="5" fillId="3" borderId="3" xfId="0" applyNumberFormat="1" applyFont="1" applyFill="1" applyBorder="1" applyAlignment="1" applyProtection="1">
      <alignment horizontal="left" vertical="center"/>
      <protection locked="0"/>
    </xf>
    <xf numFmtId="0" fontId="4" fillId="3" borderId="3" xfId="0" applyFont="1" applyFill="1" applyBorder="1" applyAlignment="1" applyProtection="1">
      <alignment horizontal="left" vertical="center"/>
      <protection locked="0"/>
    </xf>
    <xf numFmtId="0" fontId="4" fillId="3" borderId="3" xfId="0" applyNumberFormat="1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 applyProtection="1">
      <alignment horizontal="center" vertical="center"/>
    </xf>
    <xf numFmtId="0" fontId="4" fillId="0" borderId="3" xfId="0" applyNumberFormat="1" applyFont="1" applyFill="1" applyBorder="1" applyAlignment="1" applyProtection="1">
      <alignment vertical="center"/>
      <protection locked="0"/>
    </xf>
    <xf numFmtId="0" fontId="19" fillId="0" borderId="0" xfId="0" applyNumberFormat="1" applyFont="1">
      <alignment vertical="center"/>
    </xf>
    <xf numFmtId="14" fontId="5" fillId="3" borderId="3" xfId="0" applyNumberFormat="1" applyFont="1" applyFill="1" applyBorder="1" applyAlignment="1">
      <alignment horizontal="left" vertical="center"/>
    </xf>
    <xf numFmtId="0" fontId="0" fillId="0" borderId="3" xfId="0" applyNumberFormat="1" applyFill="1" applyBorder="1">
      <alignment vertical="center"/>
    </xf>
    <xf numFmtId="0" fontId="0" fillId="0" borderId="0" xfId="0" applyNumberFormat="1" applyFill="1">
      <alignment vertical="center"/>
    </xf>
    <xf numFmtId="0" fontId="12" fillId="0" borderId="0" xfId="0" applyNumberFormat="1" applyFont="1" applyFill="1" applyAlignment="1">
      <alignment horizontal="left" vertical="center"/>
    </xf>
    <xf numFmtId="0" fontId="19" fillId="0" borderId="0" xfId="0" applyNumberFormat="1" applyFont="1" applyFill="1">
      <alignment vertical="center"/>
    </xf>
    <xf numFmtId="0" fontId="6" fillId="0" borderId="0" xfId="0" applyFont="1" applyFill="1" applyAlignment="1">
      <alignment horizontal="center" vertical="center"/>
    </xf>
    <xf numFmtId="0" fontId="20" fillId="0" borderId="3" xfId="0" applyNumberFormat="1" applyFont="1" applyFill="1" applyBorder="1" applyAlignment="1">
      <alignment horizontal="center" vertical="center"/>
    </xf>
    <xf numFmtId="0" fontId="20" fillId="0" borderId="0" xfId="0" applyNumberFormat="1" applyFont="1" applyFill="1" applyAlignment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/>
      <protection locked="0"/>
    </xf>
  </cellXfs>
  <cellStyles count="1">
    <cellStyle name="常规" xfId="0" builtinId="0"/>
  </cellStyles>
  <dxfs count="2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06"/>
  <sheetViews>
    <sheetView workbookViewId="0">
      <pane xSplit="3" ySplit="2" topLeftCell="D26" activePane="bottomRight" state="frozenSplit"/>
      <selection pane="topRight" activeCell="C1" sqref="C1"/>
      <selection pane="bottomLeft" activeCell="A2" sqref="A2"/>
      <selection pane="bottomRight" activeCell="B34" sqref="B34"/>
    </sheetView>
  </sheetViews>
  <sheetFormatPr defaultRowHeight="19.5" customHeight="1"/>
  <cols>
    <col min="1" max="1" width="3.625" customWidth="1"/>
    <col min="2" max="2" width="7" style="49" customWidth="1"/>
    <col min="3" max="3" width="16.125" style="49" customWidth="1"/>
    <col min="4" max="4" width="11.875" style="50" customWidth="1"/>
    <col min="5" max="6" width="6.875" style="51" customWidth="1"/>
    <col min="7" max="7" width="7.375" style="51" customWidth="1"/>
    <col min="8" max="8" width="6.875" style="51" customWidth="1"/>
    <col min="9" max="9" width="9.625" style="51" customWidth="1"/>
    <col min="10" max="10" width="7.125" style="52" customWidth="1"/>
    <col min="11" max="11" width="7.125" customWidth="1"/>
    <col min="12" max="12" width="7.125" style="51" customWidth="1"/>
    <col min="13" max="14" width="7.125" customWidth="1"/>
    <col min="15" max="15" width="7.25" customWidth="1"/>
    <col min="16" max="16" width="6.75" style="53" customWidth="1"/>
    <col min="17" max="17" width="8" style="53" customWidth="1"/>
    <col min="18" max="20" width="6.75" style="49" customWidth="1"/>
    <col min="25" max="25" width="15.125" customWidth="1"/>
    <col min="26" max="26" width="20.875" customWidth="1"/>
  </cols>
  <sheetData>
    <row r="1" spans="1:21" s="1" customFormat="1" ht="27">
      <c r="A1" s="98" t="s">
        <v>434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</row>
    <row r="2" spans="1:21" s="1" customFormat="1" ht="24">
      <c r="A2" s="2" t="s">
        <v>0</v>
      </c>
      <c r="B2" s="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  <c r="H2" s="4" t="s">
        <v>7</v>
      </c>
      <c r="I2" s="4" t="s">
        <v>8</v>
      </c>
      <c r="J2" s="7" t="s">
        <v>9</v>
      </c>
      <c r="K2" s="8" t="s">
        <v>10</v>
      </c>
      <c r="L2" s="4" t="s">
        <v>11</v>
      </c>
      <c r="M2" s="9" t="s">
        <v>12</v>
      </c>
      <c r="N2" s="9" t="s">
        <v>13</v>
      </c>
      <c r="O2" s="9" t="s">
        <v>14</v>
      </c>
      <c r="P2" s="6" t="s">
        <v>15</v>
      </c>
      <c r="Q2" s="6" t="s">
        <v>16</v>
      </c>
      <c r="R2" s="5" t="s">
        <v>17</v>
      </c>
      <c r="S2" s="4" t="s">
        <v>18</v>
      </c>
      <c r="T2" s="10" t="s">
        <v>19</v>
      </c>
      <c r="U2" s="2" t="s">
        <v>20</v>
      </c>
    </row>
    <row r="3" spans="1:21" s="18" customFormat="1" ht="18" customHeight="1">
      <c r="A3" s="11">
        <v>1</v>
      </c>
      <c r="B3" s="11" t="s">
        <v>21</v>
      </c>
      <c r="C3" s="11" t="s">
        <v>22</v>
      </c>
      <c r="D3" s="12"/>
      <c r="E3" s="13"/>
      <c r="F3" s="13"/>
      <c r="G3" s="14">
        <v>58</v>
      </c>
      <c r="H3" s="13"/>
      <c r="I3" s="13"/>
      <c r="J3" s="15"/>
      <c r="K3" s="16"/>
      <c r="L3" s="17"/>
      <c r="M3" s="16"/>
      <c r="N3" s="16"/>
      <c r="O3" s="16"/>
      <c r="P3" s="14"/>
      <c r="Q3" s="14"/>
      <c r="R3" s="17"/>
      <c r="S3" s="13"/>
      <c r="T3" s="11"/>
      <c r="U3" s="11"/>
    </row>
    <row r="4" spans="1:21" ht="18" customHeight="1">
      <c r="A4" s="11">
        <v>2</v>
      </c>
      <c r="B4" s="19" t="s">
        <v>23</v>
      </c>
      <c r="C4" s="20" t="s">
        <v>24</v>
      </c>
      <c r="D4" s="21"/>
      <c r="E4" s="22"/>
      <c r="F4" s="23"/>
      <c r="G4" s="24"/>
      <c r="H4" s="22"/>
      <c r="I4" s="22"/>
      <c r="J4" s="15"/>
      <c r="K4" s="16"/>
      <c r="L4" s="17"/>
      <c r="M4" s="16"/>
      <c r="N4" s="16"/>
      <c r="O4" s="16"/>
      <c r="P4" s="14"/>
      <c r="Q4" s="25"/>
      <c r="R4" s="23"/>
      <c r="S4" s="23"/>
      <c r="T4" s="23"/>
      <c r="U4" s="23"/>
    </row>
    <row r="5" spans="1:21" ht="18" customHeight="1">
      <c r="A5" s="11">
        <v>3</v>
      </c>
      <c r="B5" s="19" t="s">
        <v>25</v>
      </c>
      <c r="C5" s="20" t="s">
        <v>24</v>
      </c>
      <c r="D5" s="21"/>
      <c r="E5" s="22"/>
      <c r="F5" s="23"/>
      <c r="G5" s="24"/>
      <c r="H5" s="22"/>
      <c r="I5" s="22"/>
      <c r="J5" s="15"/>
      <c r="K5" s="16"/>
      <c r="L5" s="17"/>
      <c r="M5" s="16"/>
      <c r="N5" s="16"/>
      <c r="O5" s="16"/>
      <c r="P5" s="14"/>
      <c r="Q5" s="25"/>
      <c r="R5" s="23"/>
      <c r="S5" s="25"/>
      <c r="T5" s="23"/>
      <c r="U5" s="23"/>
    </row>
    <row r="6" spans="1:21" ht="18" customHeight="1">
      <c r="A6" s="11">
        <v>4</v>
      </c>
      <c r="B6" s="19" t="s">
        <v>26</v>
      </c>
      <c r="C6" s="20" t="s">
        <v>24</v>
      </c>
      <c r="D6" s="21"/>
      <c r="E6" s="22"/>
      <c r="F6" s="23"/>
      <c r="G6" s="24">
        <v>58</v>
      </c>
      <c r="H6" s="22"/>
      <c r="I6" s="22"/>
      <c r="J6" s="15"/>
      <c r="K6" s="16"/>
      <c r="L6" s="17"/>
      <c r="M6" s="16"/>
      <c r="N6" s="16"/>
      <c r="O6" s="16"/>
      <c r="P6" s="14"/>
      <c r="Q6" s="25"/>
      <c r="R6" s="23"/>
      <c r="S6" s="23"/>
      <c r="T6" s="23"/>
      <c r="U6" s="23"/>
    </row>
    <row r="7" spans="1:21" s="1" customFormat="1" ht="18" customHeight="1">
      <c r="A7" s="11">
        <v>5</v>
      </c>
      <c r="B7" s="26" t="s">
        <v>27</v>
      </c>
      <c r="C7" s="26" t="s">
        <v>28</v>
      </c>
      <c r="D7" s="27">
        <v>24</v>
      </c>
      <c r="E7" s="28"/>
      <c r="F7" s="28"/>
      <c r="G7" s="24"/>
      <c r="H7" s="29"/>
      <c r="I7" s="29"/>
      <c r="J7" s="30"/>
      <c r="K7" s="16"/>
      <c r="L7" s="17"/>
      <c r="M7" s="16"/>
      <c r="N7" s="16"/>
      <c r="O7" s="16"/>
      <c r="P7" s="25"/>
      <c r="Q7" s="31"/>
      <c r="R7" s="23"/>
      <c r="S7" s="28"/>
      <c r="T7" s="32"/>
      <c r="U7" s="32"/>
    </row>
    <row r="8" spans="1:21" s="1" customFormat="1" ht="18" customHeight="1">
      <c r="A8" s="11">
        <v>6</v>
      </c>
      <c r="B8" s="26" t="s">
        <v>29</v>
      </c>
      <c r="C8" s="26" t="s">
        <v>28</v>
      </c>
      <c r="D8" s="27"/>
      <c r="E8" s="28"/>
      <c r="F8" s="28"/>
      <c r="G8" s="24">
        <v>25</v>
      </c>
      <c r="H8" s="29"/>
      <c r="I8" s="29"/>
      <c r="J8" s="30"/>
      <c r="K8" s="16"/>
      <c r="L8" s="17"/>
      <c r="M8" s="16"/>
      <c r="N8" s="16"/>
      <c r="O8" s="16"/>
      <c r="P8" s="25"/>
      <c r="Q8" s="25"/>
      <c r="R8" s="23"/>
      <c r="S8" s="28"/>
      <c r="T8" s="32"/>
      <c r="U8" s="32"/>
    </row>
    <row r="9" spans="1:21" s="1" customFormat="1" ht="18" customHeight="1">
      <c r="A9" s="11">
        <v>7</v>
      </c>
      <c r="B9" s="26" t="s">
        <v>30</v>
      </c>
      <c r="C9" s="26" t="s">
        <v>28</v>
      </c>
      <c r="D9" s="27"/>
      <c r="E9" s="28"/>
      <c r="F9" s="28"/>
      <c r="G9" s="24"/>
      <c r="H9" s="29"/>
      <c r="I9" s="29"/>
      <c r="J9" s="30">
        <v>4</v>
      </c>
      <c r="K9" s="16">
        <f t="shared" ref="K9:K71" si="0">J9*8</f>
        <v>32</v>
      </c>
      <c r="L9" s="17"/>
      <c r="M9" s="16"/>
      <c r="N9" s="16"/>
      <c r="O9" s="16">
        <f t="shared" ref="O9:O71" si="1">N9+M9+K9</f>
        <v>32</v>
      </c>
      <c r="P9" s="33"/>
      <c r="Q9" s="33"/>
      <c r="R9" s="34"/>
      <c r="S9" s="32"/>
      <c r="T9" s="32"/>
      <c r="U9" s="35"/>
    </row>
    <row r="10" spans="1:21" s="1" customFormat="1" ht="18" customHeight="1">
      <c r="A10" s="11">
        <v>8</v>
      </c>
      <c r="B10" s="26" t="s">
        <v>31</v>
      </c>
      <c r="C10" s="26" t="s">
        <v>28</v>
      </c>
      <c r="D10" s="27"/>
      <c r="E10" s="28"/>
      <c r="F10" s="28"/>
      <c r="G10" s="24">
        <v>32</v>
      </c>
      <c r="H10" s="29"/>
      <c r="I10" s="29"/>
      <c r="J10" s="30"/>
      <c r="K10" s="16"/>
      <c r="L10" s="17"/>
      <c r="M10" s="16"/>
      <c r="N10" s="16"/>
      <c r="O10" s="16"/>
      <c r="P10" s="25"/>
      <c r="Q10" s="25"/>
      <c r="R10" s="23"/>
      <c r="S10" s="28"/>
      <c r="T10" s="32"/>
      <c r="U10" s="32"/>
    </row>
    <row r="11" spans="1:21" s="1" customFormat="1" ht="18" customHeight="1">
      <c r="A11" s="11">
        <v>9</v>
      </c>
      <c r="B11" s="26" t="s">
        <v>32</v>
      </c>
      <c r="C11" s="26" t="s">
        <v>28</v>
      </c>
      <c r="D11" s="36"/>
      <c r="E11" s="28"/>
      <c r="F11" s="28"/>
      <c r="G11" s="24"/>
      <c r="H11" s="29"/>
      <c r="I11" s="29"/>
      <c r="J11" s="30"/>
      <c r="K11" s="16"/>
      <c r="L11" s="17"/>
      <c r="M11" s="16"/>
      <c r="N11" s="16"/>
      <c r="O11" s="16"/>
      <c r="P11" s="25"/>
      <c r="Q11" s="25"/>
      <c r="R11" s="23"/>
      <c r="S11" s="28"/>
      <c r="T11" s="32"/>
      <c r="U11" s="32"/>
    </row>
    <row r="12" spans="1:21" s="1" customFormat="1" ht="18" customHeight="1">
      <c r="A12" s="11">
        <v>10</v>
      </c>
      <c r="B12" s="26" t="s">
        <v>33</v>
      </c>
      <c r="C12" s="26" t="s">
        <v>28</v>
      </c>
      <c r="D12" s="27"/>
      <c r="E12" s="28"/>
      <c r="F12" s="28"/>
      <c r="G12" s="24">
        <v>32</v>
      </c>
      <c r="H12" s="29"/>
      <c r="I12" s="29"/>
      <c r="J12" s="30">
        <v>4</v>
      </c>
      <c r="K12" s="16">
        <f t="shared" si="0"/>
        <v>32</v>
      </c>
      <c r="L12" s="17">
        <v>8</v>
      </c>
      <c r="M12" s="16">
        <f t="shared" ref="M12:M71" si="2">L12*12</f>
        <v>96</v>
      </c>
      <c r="N12" s="16">
        <f t="shared" ref="N12:N71" si="3">L12*4</f>
        <v>32</v>
      </c>
      <c r="O12" s="16">
        <f t="shared" si="1"/>
        <v>160</v>
      </c>
      <c r="P12" s="25"/>
      <c r="Q12" s="25"/>
      <c r="R12" s="23"/>
      <c r="S12" s="28"/>
      <c r="T12" s="32"/>
      <c r="U12" s="32"/>
    </row>
    <row r="13" spans="1:21" s="1" customFormat="1" ht="18" customHeight="1">
      <c r="A13" s="11">
        <v>11</v>
      </c>
      <c r="B13" s="26" t="s">
        <v>34</v>
      </c>
      <c r="C13" s="26" t="s">
        <v>28</v>
      </c>
      <c r="D13" s="27"/>
      <c r="E13" s="28"/>
      <c r="F13" s="28"/>
      <c r="G13" s="24">
        <v>24</v>
      </c>
      <c r="H13" s="29"/>
      <c r="I13" s="29"/>
      <c r="J13" s="30"/>
      <c r="K13" s="16"/>
      <c r="L13" s="17"/>
      <c r="M13" s="16"/>
      <c r="N13" s="16"/>
      <c r="O13" s="16"/>
      <c r="P13" s="25"/>
      <c r="Q13" s="33"/>
      <c r="R13" s="23"/>
      <c r="S13" s="28"/>
      <c r="T13" s="32"/>
      <c r="U13" s="32"/>
    </row>
    <row r="14" spans="1:21" s="1" customFormat="1" ht="18" customHeight="1">
      <c r="A14" s="11">
        <v>12</v>
      </c>
      <c r="B14" s="26" t="s">
        <v>35</v>
      </c>
      <c r="C14" s="26" t="s">
        <v>28</v>
      </c>
      <c r="D14" s="27"/>
      <c r="E14" s="28"/>
      <c r="F14" s="28"/>
      <c r="G14" s="24">
        <v>32</v>
      </c>
      <c r="H14" s="29"/>
      <c r="I14" s="29"/>
      <c r="J14" s="30">
        <v>4</v>
      </c>
      <c r="K14" s="16">
        <f t="shared" si="0"/>
        <v>32</v>
      </c>
      <c r="L14" s="17">
        <v>2</v>
      </c>
      <c r="M14" s="16">
        <f t="shared" si="2"/>
        <v>24</v>
      </c>
      <c r="N14" s="16">
        <f t="shared" si="3"/>
        <v>8</v>
      </c>
      <c r="O14" s="16">
        <f t="shared" si="1"/>
        <v>64</v>
      </c>
      <c r="P14" s="25"/>
      <c r="Q14" s="25"/>
      <c r="R14" s="23"/>
      <c r="S14" s="28"/>
      <c r="T14" s="32"/>
      <c r="U14" s="32"/>
    </row>
    <row r="15" spans="1:21" s="1" customFormat="1" ht="18" customHeight="1">
      <c r="A15" s="11">
        <v>13</v>
      </c>
      <c r="B15" s="26" t="s">
        <v>36</v>
      </c>
      <c r="C15" s="26" t="s">
        <v>28</v>
      </c>
      <c r="D15" s="27"/>
      <c r="E15" s="28"/>
      <c r="F15" s="23"/>
      <c r="G15" s="24">
        <v>32</v>
      </c>
      <c r="H15" s="29"/>
      <c r="I15" s="29"/>
      <c r="J15" s="30">
        <v>7</v>
      </c>
      <c r="K15" s="16">
        <f t="shared" si="0"/>
        <v>56</v>
      </c>
      <c r="L15" s="17"/>
      <c r="M15" s="16"/>
      <c r="N15" s="16"/>
      <c r="O15" s="16">
        <f t="shared" si="1"/>
        <v>56</v>
      </c>
      <c r="P15" s="25"/>
      <c r="Q15" s="25"/>
      <c r="R15" s="23"/>
      <c r="S15" s="28"/>
      <c r="T15" s="32"/>
      <c r="U15" s="32"/>
    </row>
    <row r="16" spans="1:21" s="1" customFormat="1" ht="18" customHeight="1">
      <c r="A16" s="11">
        <v>14</v>
      </c>
      <c r="B16" s="32" t="s">
        <v>37</v>
      </c>
      <c r="C16" s="32" t="s">
        <v>28</v>
      </c>
      <c r="D16" s="27"/>
      <c r="E16" s="28"/>
      <c r="F16" s="28"/>
      <c r="G16" s="24">
        <v>32</v>
      </c>
      <c r="H16" s="29"/>
      <c r="I16" s="29"/>
      <c r="J16" s="30"/>
      <c r="K16" s="16"/>
      <c r="L16" s="17"/>
      <c r="M16" s="16"/>
      <c r="N16" s="16"/>
      <c r="O16" s="16"/>
      <c r="P16" s="25"/>
      <c r="Q16" s="25"/>
      <c r="R16" s="23"/>
      <c r="S16" s="28"/>
      <c r="T16" s="32"/>
      <c r="U16" s="32"/>
    </row>
    <row r="17" spans="1:26" s="1" customFormat="1" ht="18" customHeight="1">
      <c r="A17" s="11">
        <v>15</v>
      </c>
      <c r="B17" s="32" t="s">
        <v>38</v>
      </c>
      <c r="C17" s="37" t="s">
        <v>28</v>
      </c>
      <c r="D17" s="27"/>
      <c r="E17" s="28"/>
      <c r="F17" s="28"/>
      <c r="G17" s="24">
        <v>24</v>
      </c>
      <c r="H17" s="29"/>
      <c r="I17" s="29"/>
      <c r="J17" s="30">
        <v>5</v>
      </c>
      <c r="K17" s="16">
        <f t="shared" si="0"/>
        <v>40</v>
      </c>
      <c r="L17" s="17">
        <v>10</v>
      </c>
      <c r="M17" s="16">
        <f t="shared" si="2"/>
        <v>120</v>
      </c>
      <c r="N17" s="16">
        <f t="shared" si="3"/>
        <v>40</v>
      </c>
      <c r="O17" s="16">
        <f t="shared" si="1"/>
        <v>200</v>
      </c>
      <c r="P17" s="25"/>
      <c r="Q17" s="25"/>
      <c r="R17" s="23"/>
      <c r="S17" s="28"/>
      <c r="T17" s="32"/>
      <c r="U17" s="32"/>
    </row>
    <row r="18" spans="1:26" s="1" customFormat="1" ht="18" customHeight="1">
      <c r="A18" s="11">
        <v>16</v>
      </c>
      <c r="B18" s="32" t="s">
        <v>39</v>
      </c>
      <c r="C18" s="37" t="s">
        <v>28</v>
      </c>
      <c r="D18" s="27" t="s">
        <v>40</v>
      </c>
      <c r="E18" s="23"/>
      <c r="F18" s="28"/>
      <c r="G18" s="24"/>
      <c r="H18" s="29"/>
      <c r="I18" s="29"/>
      <c r="J18" s="30"/>
      <c r="K18" s="16"/>
      <c r="L18" s="17"/>
      <c r="M18" s="16"/>
      <c r="N18" s="16"/>
      <c r="O18" s="16"/>
      <c r="P18" s="25"/>
      <c r="Q18" s="25"/>
      <c r="R18" s="23"/>
      <c r="S18" s="28"/>
      <c r="T18" s="32"/>
      <c r="U18" s="32"/>
    </row>
    <row r="19" spans="1:26" s="1" customFormat="1" ht="18" customHeight="1">
      <c r="A19" s="11">
        <v>17</v>
      </c>
      <c r="B19" s="32" t="s">
        <v>41</v>
      </c>
      <c r="C19" s="32" t="s">
        <v>28</v>
      </c>
      <c r="D19" s="27"/>
      <c r="E19" s="28"/>
      <c r="F19" s="28"/>
      <c r="G19" s="24"/>
      <c r="H19" s="29"/>
      <c r="I19" s="29"/>
      <c r="J19" s="30">
        <v>7</v>
      </c>
      <c r="K19" s="16">
        <f t="shared" si="0"/>
        <v>56</v>
      </c>
      <c r="L19" s="17"/>
      <c r="M19" s="16"/>
      <c r="N19" s="16"/>
      <c r="O19" s="16">
        <f t="shared" si="1"/>
        <v>56</v>
      </c>
      <c r="P19" s="25"/>
      <c r="Q19" s="25"/>
      <c r="R19" s="23"/>
      <c r="S19" s="28"/>
      <c r="T19" s="32"/>
      <c r="U19" s="32"/>
    </row>
    <row r="20" spans="1:26" s="1" customFormat="1" ht="18" customHeight="1">
      <c r="A20" s="11">
        <v>18</v>
      </c>
      <c r="B20" s="32" t="s">
        <v>42</v>
      </c>
      <c r="C20" s="32" t="s">
        <v>28</v>
      </c>
      <c r="D20" s="27"/>
      <c r="E20" s="28"/>
      <c r="F20" s="28"/>
      <c r="G20" s="24">
        <v>8</v>
      </c>
      <c r="H20" s="29"/>
      <c r="I20" s="29"/>
      <c r="J20" s="30">
        <v>8</v>
      </c>
      <c r="K20" s="16">
        <f t="shared" si="0"/>
        <v>64</v>
      </c>
      <c r="L20" s="17">
        <v>1</v>
      </c>
      <c r="M20" s="16">
        <f t="shared" si="2"/>
        <v>12</v>
      </c>
      <c r="N20" s="16">
        <f t="shared" si="3"/>
        <v>4</v>
      </c>
      <c r="O20" s="16">
        <f t="shared" si="1"/>
        <v>80</v>
      </c>
      <c r="P20" s="25"/>
      <c r="Q20" s="25"/>
      <c r="R20" s="23"/>
      <c r="S20" s="28"/>
      <c r="T20" s="32"/>
      <c r="U20" s="32"/>
    </row>
    <row r="21" spans="1:26" s="1" customFormat="1" ht="18" customHeight="1">
      <c r="A21" s="11">
        <v>19</v>
      </c>
      <c r="B21" s="32" t="s">
        <v>43</v>
      </c>
      <c r="C21" s="37" t="s">
        <v>28</v>
      </c>
      <c r="D21" s="27"/>
      <c r="E21" s="28"/>
      <c r="F21" s="28"/>
      <c r="G21" s="24"/>
      <c r="H21" s="29"/>
      <c r="I21" s="29"/>
      <c r="J21" s="30">
        <v>4</v>
      </c>
      <c r="K21" s="16">
        <f t="shared" si="0"/>
        <v>32</v>
      </c>
      <c r="L21" s="17"/>
      <c r="M21" s="16"/>
      <c r="N21" s="16"/>
      <c r="O21" s="16">
        <f t="shared" si="1"/>
        <v>32</v>
      </c>
      <c r="P21" s="25"/>
      <c r="Q21" s="25"/>
      <c r="R21" s="23"/>
      <c r="S21" s="28"/>
      <c r="T21" s="32"/>
      <c r="U21" s="32"/>
    </row>
    <row r="22" spans="1:26" s="1" customFormat="1" ht="18" customHeight="1">
      <c r="A22" s="11">
        <v>20</v>
      </c>
      <c r="B22" s="32" t="s">
        <v>44</v>
      </c>
      <c r="C22" s="37" t="s">
        <v>28</v>
      </c>
      <c r="D22" s="27"/>
      <c r="E22" s="28"/>
      <c r="F22" s="23"/>
      <c r="G22" s="24">
        <v>32</v>
      </c>
      <c r="H22" s="29"/>
      <c r="I22" s="29"/>
      <c r="J22" s="30"/>
      <c r="K22" s="16"/>
      <c r="L22" s="17"/>
      <c r="M22" s="16"/>
      <c r="N22" s="16"/>
      <c r="O22" s="16"/>
      <c r="P22" s="25"/>
      <c r="Q22" s="25"/>
      <c r="R22" s="23"/>
      <c r="S22" s="28"/>
      <c r="T22" s="32"/>
      <c r="U22" s="32"/>
    </row>
    <row r="23" spans="1:26" s="1" customFormat="1" ht="18" customHeight="1">
      <c r="A23" s="11">
        <v>21</v>
      </c>
      <c r="B23" s="32" t="s">
        <v>45</v>
      </c>
      <c r="C23" s="37" t="s">
        <v>28</v>
      </c>
      <c r="D23" s="27"/>
      <c r="E23" s="28"/>
      <c r="F23" s="28"/>
      <c r="G23" s="24">
        <v>32</v>
      </c>
      <c r="H23" s="29"/>
      <c r="I23" s="38"/>
      <c r="J23" s="30">
        <v>1</v>
      </c>
      <c r="K23" s="16">
        <f t="shared" si="0"/>
        <v>8</v>
      </c>
      <c r="L23" s="17">
        <v>6</v>
      </c>
      <c r="M23" s="16">
        <f t="shared" si="2"/>
        <v>72</v>
      </c>
      <c r="N23" s="16">
        <f t="shared" si="3"/>
        <v>24</v>
      </c>
      <c r="O23" s="16">
        <f t="shared" si="1"/>
        <v>104</v>
      </c>
      <c r="P23" s="25"/>
      <c r="Q23" s="25"/>
      <c r="R23" s="23"/>
      <c r="S23" s="28"/>
      <c r="T23" s="32"/>
      <c r="U23" s="32"/>
    </row>
    <row r="24" spans="1:26" s="1" customFormat="1" ht="18" customHeight="1">
      <c r="A24" s="11">
        <v>22</v>
      </c>
      <c r="B24" s="32" t="s">
        <v>46</v>
      </c>
      <c r="C24" s="37" t="s">
        <v>28</v>
      </c>
      <c r="D24" s="27"/>
      <c r="E24" s="28"/>
      <c r="F24" s="23"/>
      <c r="G24" s="24">
        <v>8</v>
      </c>
      <c r="H24" s="29"/>
      <c r="I24" s="39"/>
      <c r="J24" s="30">
        <v>10.5</v>
      </c>
      <c r="K24" s="16">
        <f t="shared" si="0"/>
        <v>84</v>
      </c>
      <c r="L24" s="17">
        <v>5</v>
      </c>
      <c r="M24" s="16">
        <f t="shared" si="2"/>
        <v>60</v>
      </c>
      <c r="N24" s="16">
        <f t="shared" si="3"/>
        <v>20</v>
      </c>
      <c r="O24" s="16">
        <f t="shared" si="1"/>
        <v>164</v>
      </c>
      <c r="P24" s="33"/>
      <c r="Q24" s="33"/>
      <c r="R24" s="34"/>
      <c r="S24" s="32"/>
      <c r="T24" s="32"/>
      <c r="U24" s="32"/>
    </row>
    <row r="25" spans="1:26" s="1" customFormat="1" ht="18" customHeight="1">
      <c r="A25" s="11">
        <v>23</v>
      </c>
      <c r="B25" s="32" t="s">
        <v>47</v>
      </c>
      <c r="C25" s="37" t="s">
        <v>28</v>
      </c>
      <c r="D25" s="27"/>
      <c r="E25" s="28"/>
      <c r="F25" s="23"/>
      <c r="G25" s="24">
        <v>32</v>
      </c>
      <c r="H25" s="29"/>
      <c r="I25" s="38"/>
      <c r="J25" s="30">
        <v>3</v>
      </c>
      <c r="K25" s="16">
        <f t="shared" si="0"/>
        <v>24</v>
      </c>
      <c r="L25" s="17"/>
      <c r="M25" s="16"/>
      <c r="N25" s="16"/>
      <c r="O25" s="16">
        <f t="shared" si="1"/>
        <v>24</v>
      </c>
      <c r="P25" s="25"/>
      <c r="Q25" s="25"/>
      <c r="R25" s="23"/>
      <c r="S25" s="28"/>
      <c r="T25" s="32"/>
      <c r="U25" s="32"/>
    </row>
    <row r="26" spans="1:26" s="1" customFormat="1" ht="18" customHeight="1">
      <c r="A26" s="11">
        <v>24</v>
      </c>
      <c r="B26" s="32" t="s">
        <v>48</v>
      </c>
      <c r="C26" s="34" t="s">
        <v>28</v>
      </c>
      <c r="D26" s="27"/>
      <c r="E26" s="28"/>
      <c r="F26" s="23"/>
      <c r="G26" s="24"/>
      <c r="H26" s="29"/>
      <c r="I26" s="39"/>
      <c r="J26" s="30">
        <v>1</v>
      </c>
      <c r="K26" s="16">
        <f t="shared" si="0"/>
        <v>8</v>
      </c>
      <c r="L26" s="17"/>
      <c r="M26" s="16"/>
      <c r="N26" s="16"/>
      <c r="O26" s="16">
        <f t="shared" si="1"/>
        <v>8</v>
      </c>
      <c r="P26" s="25"/>
      <c r="Q26" s="25"/>
      <c r="R26" s="23"/>
      <c r="S26" s="28"/>
      <c r="T26" s="32"/>
      <c r="U26" s="32"/>
    </row>
    <row r="27" spans="1:26" s="1" customFormat="1" ht="18" customHeight="1">
      <c r="A27" s="11">
        <v>25</v>
      </c>
      <c r="B27" s="32" t="s">
        <v>49</v>
      </c>
      <c r="C27" s="37" t="s">
        <v>28</v>
      </c>
      <c r="E27" s="80"/>
      <c r="F27" s="80"/>
      <c r="G27" s="30">
        <v>16</v>
      </c>
      <c r="H27" s="80"/>
      <c r="I27" s="80"/>
      <c r="J27" s="30"/>
      <c r="K27" s="16"/>
      <c r="L27" s="17"/>
      <c r="M27" s="16"/>
      <c r="N27" s="16"/>
      <c r="O27" s="16"/>
      <c r="P27" s="25"/>
      <c r="Q27" s="25"/>
      <c r="R27" s="23"/>
      <c r="S27" s="28"/>
      <c r="T27" s="32"/>
      <c r="U27" s="32"/>
    </row>
    <row r="28" spans="1:26" s="1" customFormat="1" ht="18" customHeight="1">
      <c r="A28" s="11">
        <v>26</v>
      </c>
      <c r="B28" s="32" t="s">
        <v>50</v>
      </c>
      <c r="C28" s="34" t="s">
        <v>28</v>
      </c>
      <c r="D28" s="80" t="s">
        <v>428</v>
      </c>
      <c r="E28" s="80"/>
      <c r="F28" s="80"/>
      <c r="G28" s="30">
        <v>8</v>
      </c>
      <c r="H28" s="80"/>
      <c r="I28" s="80"/>
      <c r="J28" s="30"/>
      <c r="K28" s="16"/>
      <c r="L28" s="17"/>
      <c r="M28" s="16"/>
      <c r="N28" s="16"/>
      <c r="O28" s="16"/>
      <c r="P28" s="25"/>
      <c r="Q28" s="25"/>
      <c r="R28" s="23"/>
      <c r="S28" s="28"/>
      <c r="T28" s="32"/>
      <c r="U28" s="32"/>
    </row>
    <row r="29" spans="1:26" s="1" customFormat="1" ht="18" customHeight="1">
      <c r="A29" s="11">
        <v>27</v>
      </c>
      <c r="B29" s="32" t="s">
        <v>51</v>
      </c>
      <c r="C29" s="34" t="s">
        <v>28</v>
      </c>
      <c r="D29" s="80"/>
      <c r="E29" s="80">
        <v>24</v>
      </c>
      <c r="F29" s="80"/>
      <c r="G29" s="30"/>
      <c r="H29" s="80"/>
      <c r="I29" s="80" t="s">
        <v>444</v>
      </c>
      <c r="J29" s="30"/>
      <c r="K29" s="16"/>
      <c r="L29" s="17"/>
      <c r="M29" s="16"/>
      <c r="N29" s="16"/>
      <c r="O29" s="16"/>
      <c r="P29" s="25"/>
      <c r="Q29" s="25"/>
      <c r="R29" s="23"/>
      <c r="S29" s="28"/>
      <c r="T29" s="34"/>
      <c r="U29" s="34"/>
      <c r="Y29" s="40"/>
      <c r="Z29" s="40"/>
    </row>
    <row r="30" spans="1:26" s="1" customFormat="1" ht="18" customHeight="1">
      <c r="A30" s="11">
        <v>28</v>
      </c>
      <c r="B30" s="32" t="s">
        <v>52</v>
      </c>
      <c r="C30" s="34" t="s">
        <v>28</v>
      </c>
      <c r="D30" s="80"/>
      <c r="E30" s="80"/>
      <c r="F30" s="80"/>
      <c r="G30" s="30">
        <v>24</v>
      </c>
      <c r="H30" s="80"/>
      <c r="I30" s="80"/>
      <c r="J30" s="30">
        <v>5</v>
      </c>
      <c r="K30" s="16">
        <f t="shared" si="0"/>
        <v>40</v>
      </c>
      <c r="L30" s="17">
        <v>6</v>
      </c>
      <c r="M30" s="16">
        <f t="shared" si="2"/>
        <v>72</v>
      </c>
      <c r="N30" s="16">
        <f t="shared" si="3"/>
        <v>24</v>
      </c>
      <c r="O30" s="16">
        <f t="shared" si="1"/>
        <v>136</v>
      </c>
      <c r="P30" s="25"/>
      <c r="Q30" s="25"/>
      <c r="R30" s="23"/>
      <c r="S30" s="28"/>
      <c r="T30" s="34"/>
      <c r="U30" s="34"/>
      <c r="Y30" s="40"/>
      <c r="Z30" s="40"/>
    </row>
    <row r="31" spans="1:26" s="1" customFormat="1" ht="18" customHeight="1">
      <c r="A31" s="11">
        <v>29</v>
      </c>
      <c r="B31" s="32" t="s">
        <v>53</v>
      </c>
      <c r="C31" s="34" t="s">
        <v>28</v>
      </c>
      <c r="D31" s="80"/>
      <c r="E31" s="80"/>
      <c r="F31" s="80" t="s">
        <v>443</v>
      </c>
      <c r="G31" s="30"/>
      <c r="H31" s="80"/>
      <c r="I31" s="80"/>
      <c r="J31" s="30"/>
      <c r="K31" s="16"/>
      <c r="L31" s="17"/>
      <c r="M31" s="16"/>
      <c r="N31" s="16"/>
      <c r="O31" s="16"/>
      <c r="P31" s="25"/>
      <c r="Q31" s="25"/>
      <c r="R31" s="23"/>
      <c r="S31" s="28"/>
      <c r="T31" s="34"/>
      <c r="U31" s="34"/>
      <c r="Y31" s="40"/>
      <c r="Z31" s="40"/>
    </row>
    <row r="32" spans="1:26" s="1" customFormat="1" ht="18" customHeight="1">
      <c r="A32" s="11">
        <v>30</v>
      </c>
      <c r="B32" s="32" t="s">
        <v>54</v>
      </c>
      <c r="C32" s="34" t="s">
        <v>28</v>
      </c>
      <c r="D32" s="80"/>
      <c r="E32" s="80"/>
      <c r="F32" s="80"/>
      <c r="G32" s="30">
        <v>16</v>
      </c>
      <c r="H32" s="80"/>
      <c r="I32" s="80"/>
      <c r="J32" s="30">
        <v>4</v>
      </c>
      <c r="K32" s="16">
        <f t="shared" si="0"/>
        <v>32</v>
      </c>
      <c r="L32" s="17">
        <v>6</v>
      </c>
      <c r="M32" s="16">
        <f t="shared" si="2"/>
        <v>72</v>
      </c>
      <c r="N32" s="16">
        <f t="shared" si="3"/>
        <v>24</v>
      </c>
      <c r="O32" s="16">
        <f t="shared" si="1"/>
        <v>128</v>
      </c>
      <c r="P32" s="25"/>
      <c r="Q32" s="25"/>
      <c r="R32" s="23"/>
      <c r="S32" s="23"/>
      <c r="T32" s="34"/>
      <c r="U32" s="34"/>
      <c r="Y32" s="40"/>
      <c r="Z32" s="40"/>
    </row>
    <row r="33" spans="1:21" s="1" customFormat="1" ht="18" customHeight="1">
      <c r="A33" s="11">
        <v>31</v>
      </c>
      <c r="B33" s="32" t="s">
        <v>55</v>
      </c>
      <c r="C33" s="34" t="s">
        <v>28</v>
      </c>
      <c r="D33" s="80"/>
      <c r="E33" s="80"/>
      <c r="F33" s="80"/>
      <c r="G33" s="30">
        <v>24</v>
      </c>
      <c r="H33" s="80"/>
      <c r="I33" s="80"/>
      <c r="J33" s="30">
        <v>4</v>
      </c>
      <c r="K33" s="16">
        <f t="shared" si="0"/>
        <v>32</v>
      </c>
      <c r="L33" s="17">
        <v>2</v>
      </c>
      <c r="M33" s="16">
        <f t="shared" si="2"/>
        <v>24</v>
      </c>
      <c r="N33" s="16">
        <f t="shared" si="3"/>
        <v>8</v>
      </c>
      <c r="O33" s="16">
        <f t="shared" si="1"/>
        <v>64</v>
      </c>
      <c r="P33" s="25"/>
      <c r="Q33" s="25"/>
      <c r="R33" s="23"/>
      <c r="S33" s="28"/>
      <c r="T33" s="34"/>
      <c r="U33" s="34"/>
    </row>
    <row r="34" spans="1:21" s="1" customFormat="1" ht="18" customHeight="1">
      <c r="A34" s="11">
        <v>32</v>
      </c>
      <c r="B34" s="32" t="s">
        <v>56</v>
      </c>
      <c r="C34" s="34" t="s">
        <v>28</v>
      </c>
      <c r="D34" s="80"/>
      <c r="E34" s="80"/>
      <c r="F34" s="80"/>
      <c r="G34" s="30">
        <v>40</v>
      </c>
      <c r="H34" s="80"/>
      <c r="I34" s="80"/>
      <c r="J34" s="30">
        <v>1</v>
      </c>
      <c r="K34" s="16">
        <f t="shared" si="0"/>
        <v>8</v>
      </c>
      <c r="L34" s="17"/>
      <c r="M34" s="16"/>
      <c r="N34" s="16"/>
      <c r="O34" s="16">
        <f t="shared" si="1"/>
        <v>8</v>
      </c>
      <c r="P34" s="25"/>
      <c r="Q34" s="25"/>
      <c r="R34" s="23"/>
      <c r="S34" s="28"/>
      <c r="T34" s="34"/>
      <c r="U34" s="34"/>
    </row>
    <row r="35" spans="1:21" s="1" customFormat="1" ht="18" customHeight="1">
      <c r="A35" s="11">
        <v>33</v>
      </c>
      <c r="B35" s="32" t="s">
        <v>57</v>
      </c>
      <c r="C35" s="34" t="s">
        <v>28</v>
      </c>
      <c r="D35" s="36"/>
      <c r="E35" s="28"/>
      <c r="F35" s="23"/>
      <c r="G35" s="30">
        <v>32</v>
      </c>
      <c r="H35" s="39"/>
      <c r="I35" s="39"/>
      <c r="J35" s="30">
        <v>7.5</v>
      </c>
      <c r="K35" s="16">
        <f t="shared" si="0"/>
        <v>60</v>
      </c>
      <c r="L35" s="17">
        <v>7</v>
      </c>
      <c r="M35" s="16">
        <f t="shared" si="2"/>
        <v>84</v>
      </c>
      <c r="N35" s="16">
        <f t="shared" si="3"/>
        <v>28</v>
      </c>
      <c r="O35" s="16">
        <f t="shared" si="1"/>
        <v>172</v>
      </c>
      <c r="P35" s="25"/>
      <c r="Q35" s="25"/>
      <c r="R35" s="23"/>
      <c r="S35" s="28"/>
      <c r="T35" s="34"/>
      <c r="U35" s="34"/>
    </row>
    <row r="36" spans="1:21" s="1" customFormat="1" ht="18" customHeight="1">
      <c r="A36" s="11">
        <v>34</v>
      </c>
      <c r="B36" s="32" t="s">
        <v>58</v>
      </c>
      <c r="C36" s="34" t="s">
        <v>28</v>
      </c>
      <c r="D36" s="36"/>
      <c r="E36" s="28"/>
      <c r="F36" s="23"/>
      <c r="G36" s="30">
        <v>8</v>
      </c>
      <c r="H36" s="39"/>
      <c r="I36" s="39"/>
      <c r="J36" s="30">
        <v>13.5</v>
      </c>
      <c r="K36" s="16">
        <f t="shared" si="0"/>
        <v>108</v>
      </c>
      <c r="L36" s="17"/>
      <c r="M36" s="16"/>
      <c r="N36" s="16"/>
      <c r="O36" s="16">
        <f t="shared" si="1"/>
        <v>108</v>
      </c>
      <c r="P36" s="25"/>
      <c r="Q36" s="25"/>
      <c r="R36" s="23"/>
      <c r="S36" s="28"/>
      <c r="T36" s="34"/>
      <c r="U36" s="34"/>
    </row>
    <row r="37" spans="1:21" s="1" customFormat="1" ht="18" customHeight="1">
      <c r="A37" s="11">
        <v>35</v>
      </c>
      <c r="B37" s="41" t="s">
        <v>59</v>
      </c>
      <c r="C37" s="34" t="s">
        <v>28</v>
      </c>
      <c r="D37" s="36" t="s">
        <v>40</v>
      </c>
      <c r="E37" s="28"/>
      <c r="F37" s="23"/>
      <c r="G37" s="24"/>
      <c r="H37" s="39"/>
      <c r="I37" s="39"/>
      <c r="J37" s="30"/>
      <c r="K37" s="16"/>
      <c r="L37" s="17"/>
      <c r="M37" s="16"/>
      <c r="N37" s="16"/>
      <c r="O37" s="16"/>
      <c r="P37" s="25"/>
      <c r="Q37" s="33"/>
      <c r="R37" s="23"/>
      <c r="S37" s="28"/>
      <c r="T37" s="34"/>
      <c r="U37" s="34"/>
    </row>
    <row r="38" spans="1:21" s="1" customFormat="1" ht="18" customHeight="1">
      <c r="A38" s="11">
        <v>36</v>
      </c>
      <c r="B38" s="41" t="s">
        <v>60</v>
      </c>
      <c r="C38" s="34" t="s">
        <v>28</v>
      </c>
      <c r="D38" s="36"/>
      <c r="E38" s="28"/>
      <c r="F38" s="23"/>
      <c r="G38" s="24"/>
      <c r="H38" s="39"/>
      <c r="I38" s="39" t="s">
        <v>442</v>
      </c>
      <c r="J38" s="30">
        <v>2</v>
      </c>
      <c r="K38" s="16">
        <f t="shared" si="0"/>
        <v>16</v>
      </c>
      <c r="L38" s="17"/>
      <c r="M38" s="16"/>
      <c r="N38" s="16"/>
      <c r="O38" s="16">
        <f t="shared" si="1"/>
        <v>16</v>
      </c>
      <c r="P38" s="25"/>
      <c r="Q38" s="33"/>
      <c r="R38" s="23"/>
      <c r="S38" s="28"/>
      <c r="T38" s="34"/>
      <c r="U38" s="34"/>
    </row>
    <row r="39" spans="1:21" ht="18" customHeight="1">
      <c r="A39" s="11">
        <v>37</v>
      </c>
      <c r="B39" s="41" t="s">
        <v>61</v>
      </c>
      <c r="C39" s="34" t="s">
        <v>28</v>
      </c>
      <c r="D39" s="36"/>
      <c r="E39" s="28"/>
      <c r="F39" s="23"/>
      <c r="G39" s="24"/>
      <c r="H39" s="39"/>
      <c r="I39" s="39"/>
      <c r="J39" s="30">
        <v>3</v>
      </c>
      <c r="K39" s="16">
        <f t="shared" si="0"/>
        <v>24</v>
      </c>
      <c r="L39" s="17"/>
      <c r="M39" s="16"/>
      <c r="N39" s="16"/>
      <c r="O39" s="16">
        <f t="shared" si="1"/>
        <v>24</v>
      </c>
      <c r="P39" s="25"/>
      <c r="Q39" s="33"/>
      <c r="R39" s="23"/>
      <c r="S39" s="28"/>
      <c r="T39" s="34"/>
      <c r="U39" s="34"/>
    </row>
    <row r="40" spans="1:21" s="1" customFormat="1" ht="18" customHeight="1">
      <c r="A40" s="11">
        <v>38</v>
      </c>
      <c r="B40" s="41" t="s">
        <v>62</v>
      </c>
      <c r="C40" s="34" t="s">
        <v>28</v>
      </c>
      <c r="D40" s="36"/>
      <c r="E40" s="28"/>
      <c r="F40" s="23"/>
      <c r="G40" s="24">
        <v>24</v>
      </c>
      <c r="H40" s="39"/>
      <c r="I40" s="39"/>
      <c r="J40" s="30">
        <v>2</v>
      </c>
      <c r="K40" s="16">
        <f t="shared" si="0"/>
        <v>16</v>
      </c>
      <c r="L40" s="17"/>
      <c r="M40" s="16"/>
      <c r="N40" s="16"/>
      <c r="O40" s="16">
        <f t="shared" si="1"/>
        <v>16</v>
      </c>
      <c r="P40" s="25"/>
      <c r="Q40" s="33"/>
      <c r="R40" s="23"/>
      <c r="S40" s="28"/>
      <c r="T40" s="34"/>
      <c r="U40" s="34"/>
    </row>
    <row r="41" spans="1:21" s="1" customFormat="1" ht="18" customHeight="1">
      <c r="A41" s="11">
        <v>39</v>
      </c>
      <c r="B41" s="41" t="s">
        <v>63</v>
      </c>
      <c r="C41" s="34" t="s">
        <v>28</v>
      </c>
      <c r="D41" s="36"/>
      <c r="E41" s="28"/>
      <c r="F41" s="23"/>
      <c r="G41" s="24"/>
      <c r="H41" s="39"/>
      <c r="I41" s="39"/>
      <c r="J41" s="30"/>
      <c r="K41" s="16"/>
      <c r="L41" s="17"/>
      <c r="M41" s="16"/>
      <c r="N41" s="16"/>
      <c r="O41" s="16"/>
      <c r="P41" s="25"/>
      <c r="Q41" s="33"/>
      <c r="R41" s="23"/>
      <c r="S41" s="28"/>
      <c r="T41" s="34"/>
      <c r="U41" s="34"/>
    </row>
    <row r="42" spans="1:21" s="1" customFormat="1" ht="18" customHeight="1">
      <c r="A42" s="11">
        <v>40</v>
      </c>
      <c r="B42" s="41" t="s">
        <v>64</v>
      </c>
      <c r="C42" s="34" t="s">
        <v>28</v>
      </c>
      <c r="D42" s="36"/>
      <c r="E42" s="28"/>
      <c r="G42" s="24">
        <v>40</v>
      </c>
      <c r="H42" s="39"/>
      <c r="I42" s="39"/>
      <c r="J42" s="30">
        <v>5.5</v>
      </c>
      <c r="K42" s="16">
        <f t="shared" si="0"/>
        <v>44</v>
      </c>
      <c r="L42" s="17">
        <v>12</v>
      </c>
      <c r="M42" s="16">
        <f t="shared" si="2"/>
        <v>144</v>
      </c>
      <c r="N42" s="16">
        <f t="shared" si="3"/>
        <v>48</v>
      </c>
      <c r="O42" s="16">
        <f t="shared" si="1"/>
        <v>236</v>
      </c>
      <c r="P42" s="25"/>
      <c r="Q42" s="33"/>
      <c r="R42" s="23"/>
      <c r="S42" s="28"/>
      <c r="T42" s="34"/>
      <c r="U42" s="34"/>
    </row>
    <row r="43" spans="1:21" s="1" customFormat="1" ht="18" customHeight="1">
      <c r="A43" s="11">
        <v>41</v>
      </c>
      <c r="B43" s="41" t="s">
        <v>65</v>
      </c>
      <c r="C43" s="34" t="s">
        <v>28</v>
      </c>
      <c r="D43" s="36"/>
      <c r="E43" s="28"/>
      <c r="F43" s="23"/>
      <c r="G43" s="24">
        <v>16</v>
      </c>
      <c r="H43" s="39"/>
      <c r="I43" s="39"/>
      <c r="J43" s="30"/>
      <c r="K43" s="16"/>
      <c r="L43" s="17"/>
      <c r="M43" s="16"/>
      <c r="N43" s="16"/>
      <c r="O43" s="16"/>
      <c r="P43" s="25"/>
      <c r="Q43" s="33"/>
      <c r="R43" s="23"/>
      <c r="S43" s="28"/>
      <c r="T43" s="34"/>
      <c r="U43" s="34"/>
    </row>
    <row r="44" spans="1:21" s="1" customFormat="1" ht="18" customHeight="1">
      <c r="A44" s="11">
        <v>42</v>
      </c>
      <c r="B44" s="42" t="s">
        <v>66</v>
      </c>
      <c r="C44" s="34" t="s">
        <v>28</v>
      </c>
      <c r="D44" s="12"/>
      <c r="E44" s="28"/>
      <c r="F44" s="23">
        <v>20</v>
      </c>
      <c r="G44" s="24">
        <v>28</v>
      </c>
      <c r="H44" s="39"/>
      <c r="I44" s="39"/>
      <c r="J44" s="30">
        <v>1</v>
      </c>
      <c r="K44" s="16">
        <f t="shared" si="0"/>
        <v>8</v>
      </c>
      <c r="L44" s="17"/>
      <c r="M44" s="16"/>
      <c r="N44" s="16"/>
      <c r="O44" s="16">
        <f t="shared" si="1"/>
        <v>8</v>
      </c>
      <c r="P44" s="25"/>
      <c r="Q44" s="33"/>
      <c r="R44" s="23"/>
      <c r="S44" s="28"/>
      <c r="T44" s="34"/>
      <c r="U44" s="34"/>
    </row>
    <row r="45" spans="1:21" s="1" customFormat="1" ht="18" customHeight="1">
      <c r="A45" s="11">
        <v>43</v>
      </c>
      <c r="B45" s="42" t="s">
        <v>67</v>
      </c>
      <c r="C45" s="34" t="s">
        <v>28</v>
      </c>
      <c r="D45" s="12"/>
      <c r="E45" s="28"/>
      <c r="F45" s="23"/>
      <c r="G45" s="24">
        <v>2</v>
      </c>
      <c r="H45" s="39"/>
      <c r="I45" s="39"/>
      <c r="J45" s="30">
        <v>2</v>
      </c>
      <c r="K45" s="16">
        <f t="shared" si="0"/>
        <v>16</v>
      </c>
      <c r="L45" s="17"/>
      <c r="M45" s="16"/>
      <c r="N45" s="16"/>
      <c r="O45" s="16">
        <f t="shared" si="1"/>
        <v>16</v>
      </c>
      <c r="P45" s="25"/>
      <c r="Q45" s="33"/>
      <c r="R45" s="23"/>
      <c r="S45" s="28"/>
      <c r="T45" s="34"/>
      <c r="U45" s="34"/>
    </row>
    <row r="46" spans="1:21" s="1" customFormat="1" ht="18" customHeight="1">
      <c r="A46" s="11">
        <v>44</v>
      </c>
      <c r="B46" s="42" t="s">
        <v>68</v>
      </c>
      <c r="C46" s="34" t="s">
        <v>28</v>
      </c>
      <c r="D46" s="21"/>
      <c r="E46" s="28"/>
      <c r="F46" s="23">
        <v>52</v>
      </c>
      <c r="G46" s="24">
        <v>12</v>
      </c>
      <c r="H46" s="39"/>
      <c r="I46" s="39"/>
      <c r="J46" s="30">
        <v>7</v>
      </c>
      <c r="K46" s="16">
        <f t="shared" si="0"/>
        <v>56</v>
      </c>
      <c r="L46" s="17"/>
      <c r="M46" s="16"/>
      <c r="N46" s="16"/>
      <c r="O46" s="16">
        <f t="shared" si="1"/>
        <v>56</v>
      </c>
      <c r="P46" s="25"/>
      <c r="Q46" s="33"/>
      <c r="R46" s="23"/>
      <c r="S46" s="28"/>
      <c r="T46" s="34"/>
      <c r="U46" s="34"/>
    </row>
    <row r="47" spans="1:21" s="1" customFormat="1" ht="18" customHeight="1">
      <c r="A47" s="11">
        <v>45</v>
      </c>
      <c r="B47" s="42" t="s">
        <v>69</v>
      </c>
      <c r="C47" s="34" t="s">
        <v>28</v>
      </c>
      <c r="D47" s="21"/>
      <c r="E47" s="28"/>
      <c r="F47" s="23"/>
      <c r="G47" s="24">
        <v>32</v>
      </c>
      <c r="H47" s="39"/>
      <c r="I47" s="39"/>
      <c r="J47" s="30">
        <v>8.5</v>
      </c>
      <c r="K47" s="16">
        <f t="shared" si="0"/>
        <v>68</v>
      </c>
      <c r="L47" s="17">
        <v>5</v>
      </c>
      <c r="M47" s="16">
        <f t="shared" si="2"/>
        <v>60</v>
      </c>
      <c r="N47" s="16">
        <f t="shared" si="3"/>
        <v>20</v>
      </c>
      <c r="O47" s="16">
        <f t="shared" si="1"/>
        <v>148</v>
      </c>
      <c r="P47" s="25"/>
      <c r="Q47" s="33"/>
      <c r="R47" s="23"/>
      <c r="S47" s="28"/>
      <c r="T47" s="34"/>
      <c r="U47" s="34"/>
    </row>
    <row r="48" spans="1:21" s="1" customFormat="1" ht="18" customHeight="1">
      <c r="A48" s="11">
        <v>46</v>
      </c>
      <c r="B48" s="42" t="s">
        <v>70</v>
      </c>
      <c r="C48" s="34" t="s">
        <v>28</v>
      </c>
      <c r="D48" s="21"/>
      <c r="E48" s="28"/>
      <c r="F48" s="23"/>
      <c r="G48" s="24"/>
      <c r="H48" s="39"/>
      <c r="I48" s="39"/>
      <c r="J48" s="30">
        <v>3</v>
      </c>
      <c r="K48" s="16">
        <f t="shared" si="0"/>
        <v>24</v>
      </c>
      <c r="L48" s="17"/>
      <c r="M48" s="16"/>
      <c r="N48" s="16"/>
      <c r="O48" s="16">
        <f t="shared" si="1"/>
        <v>24</v>
      </c>
      <c r="P48" s="25"/>
      <c r="Q48" s="33"/>
      <c r="R48" s="23"/>
      <c r="S48" s="28"/>
      <c r="T48" s="34"/>
      <c r="U48" s="34"/>
    </row>
    <row r="49" spans="1:21" s="1" customFormat="1" ht="18" customHeight="1">
      <c r="A49" s="11">
        <v>47</v>
      </c>
      <c r="B49" s="42" t="s">
        <v>71</v>
      </c>
      <c r="C49" s="34" t="s">
        <v>28</v>
      </c>
      <c r="D49" s="43"/>
      <c r="E49" s="28"/>
      <c r="F49" s="23"/>
      <c r="G49" s="24">
        <v>24</v>
      </c>
      <c r="H49" s="39"/>
      <c r="I49" s="39"/>
      <c r="J49" s="30">
        <v>6.5</v>
      </c>
      <c r="K49" s="16">
        <f t="shared" si="0"/>
        <v>52</v>
      </c>
      <c r="L49" s="17">
        <v>5</v>
      </c>
      <c r="M49" s="16">
        <f t="shared" si="2"/>
        <v>60</v>
      </c>
      <c r="N49" s="16">
        <f t="shared" si="3"/>
        <v>20</v>
      </c>
      <c r="O49" s="16">
        <f t="shared" si="1"/>
        <v>132</v>
      </c>
      <c r="P49" s="25"/>
      <c r="Q49" s="33"/>
      <c r="R49" s="23"/>
      <c r="S49" s="28"/>
      <c r="T49" s="34"/>
      <c r="U49" s="34"/>
    </row>
    <row r="50" spans="1:21" s="1" customFormat="1" ht="18" customHeight="1">
      <c r="A50" s="11">
        <v>48</v>
      </c>
      <c r="B50" s="42" t="s">
        <v>72</v>
      </c>
      <c r="C50" s="34" t="s">
        <v>28</v>
      </c>
      <c r="D50" s="44"/>
      <c r="E50" s="28"/>
      <c r="F50" s="23"/>
      <c r="G50" s="24">
        <v>24</v>
      </c>
      <c r="H50" s="39"/>
      <c r="I50" s="39"/>
      <c r="J50" s="30">
        <v>3.5</v>
      </c>
      <c r="K50" s="16">
        <f t="shared" si="0"/>
        <v>28</v>
      </c>
      <c r="L50" s="17">
        <v>3</v>
      </c>
      <c r="M50" s="16">
        <f t="shared" si="2"/>
        <v>36</v>
      </c>
      <c r="N50" s="16">
        <f t="shared" si="3"/>
        <v>12</v>
      </c>
      <c r="O50" s="16">
        <f t="shared" si="1"/>
        <v>76</v>
      </c>
      <c r="P50" s="25"/>
      <c r="Q50" s="33"/>
      <c r="R50" s="23"/>
      <c r="S50" s="28"/>
      <c r="T50" s="34"/>
      <c r="U50" s="34"/>
    </row>
    <row r="51" spans="1:21" s="1" customFormat="1" ht="18" customHeight="1">
      <c r="A51" s="11">
        <v>49</v>
      </c>
      <c r="B51" s="42" t="s">
        <v>73</v>
      </c>
      <c r="C51" s="34" t="s">
        <v>28</v>
      </c>
      <c r="D51" s="44"/>
      <c r="E51" s="28"/>
      <c r="F51" s="23">
        <v>16</v>
      </c>
      <c r="G51" s="24"/>
      <c r="H51" s="39"/>
      <c r="I51" s="39"/>
      <c r="J51" s="30">
        <v>5.5</v>
      </c>
      <c r="K51" s="16">
        <f t="shared" si="0"/>
        <v>44</v>
      </c>
      <c r="L51" s="17">
        <v>3</v>
      </c>
      <c r="M51" s="16">
        <f t="shared" si="2"/>
        <v>36</v>
      </c>
      <c r="N51" s="16">
        <f t="shared" si="3"/>
        <v>12</v>
      </c>
      <c r="O51" s="16">
        <f t="shared" si="1"/>
        <v>92</v>
      </c>
      <c r="P51" s="25"/>
      <c r="Q51" s="33"/>
      <c r="R51" s="23"/>
      <c r="S51" s="28"/>
      <c r="T51" s="34"/>
      <c r="U51" s="34"/>
    </row>
    <row r="52" spans="1:21" s="1" customFormat="1" ht="18" customHeight="1">
      <c r="A52" s="11">
        <v>50</v>
      </c>
      <c r="B52" s="42" t="s">
        <v>74</v>
      </c>
      <c r="C52" s="34" t="s">
        <v>28</v>
      </c>
      <c r="D52" s="44"/>
      <c r="E52" s="28"/>
      <c r="F52" s="23">
        <v>16</v>
      </c>
      <c r="G52" s="24">
        <v>8</v>
      </c>
      <c r="H52" s="39"/>
      <c r="I52" s="39"/>
      <c r="J52" s="30">
        <v>4</v>
      </c>
      <c r="K52" s="16">
        <f t="shared" si="0"/>
        <v>32</v>
      </c>
      <c r="L52" s="17">
        <v>5</v>
      </c>
      <c r="M52" s="16">
        <f t="shared" si="2"/>
        <v>60</v>
      </c>
      <c r="N52" s="16">
        <f t="shared" si="3"/>
        <v>20</v>
      </c>
      <c r="O52" s="16">
        <f t="shared" si="1"/>
        <v>112</v>
      </c>
      <c r="P52" s="25"/>
      <c r="Q52" s="33"/>
      <c r="R52" s="23"/>
      <c r="S52" s="28"/>
      <c r="T52" s="34"/>
      <c r="U52" s="34"/>
    </row>
    <row r="53" spans="1:21" s="1" customFormat="1" ht="18" customHeight="1">
      <c r="A53" s="11">
        <v>51</v>
      </c>
      <c r="B53" s="42" t="s">
        <v>75</v>
      </c>
      <c r="C53" s="34" t="s">
        <v>28</v>
      </c>
      <c r="D53" s="44"/>
      <c r="E53" s="28"/>
      <c r="F53" s="23">
        <v>16</v>
      </c>
      <c r="G53" s="24">
        <v>32</v>
      </c>
      <c r="H53" s="39"/>
      <c r="I53" s="39"/>
      <c r="J53" s="30"/>
      <c r="K53" s="16"/>
      <c r="L53" s="17"/>
      <c r="M53" s="16"/>
      <c r="N53" s="16"/>
      <c r="O53" s="16"/>
      <c r="P53" s="25"/>
      <c r="Q53" s="33"/>
      <c r="R53" s="23"/>
      <c r="S53" s="28"/>
      <c r="T53" s="34"/>
      <c r="U53" s="34"/>
    </row>
    <row r="54" spans="1:21" s="1" customFormat="1" ht="18" customHeight="1">
      <c r="A54" s="11">
        <v>52</v>
      </c>
      <c r="B54" s="42" t="s">
        <v>76</v>
      </c>
      <c r="C54" s="34" t="s">
        <v>28</v>
      </c>
      <c r="D54" s="44"/>
      <c r="E54" s="28"/>
      <c r="F54" s="23">
        <v>16</v>
      </c>
      <c r="G54" s="24">
        <v>16</v>
      </c>
      <c r="H54" s="39"/>
      <c r="I54" s="39"/>
      <c r="J54" s="30">
        <v>6</v>
      </c>
      <c r="K54" s="16">
        <f t="shared" si="0"/>
        <v>48</v>
      </c>
      <c r="L54" s="17"/>
      <c r="M54" s="16"/>
      <c r="N54" s="16"/>
      <c r="O54" s="16">
        <f t="shared" si="1"/>
        <v>48</v>
      </c>
      <c r="P54" s="25"/>
      <c r="Q54" s="33"/>
      <c r="R54" s="23"/>
      <c r="S54" s="28"/>
      <c r="T54" s="34"/>
      <c r="U54" s="34"/>
    </row>
    <row r="55" spans="1:21" s="1" customFormat="1" ht="18" customHeight="1">
      <c r="A55" s="11">
        <v>53</v>
      </c>
      <c r="B55" s="42" t="s">
        <v>77</v>
      </c>
      <c r="C55" s="34" t="s">
        <v>28</v>
      </c>
      <c r="D55" s="44"/>
      <c r="E55" s="28"/>
      <c r="F55" s="23">
        <v>16</v>
      </c>
      <c r="G55" s="24"/>
      <c r="H55" s="39"/>
      <c r="I55" s="39"/>
      <c r="J55" s="30"/>
      <c r="K55" s="16"/>
      <c r="L55" s="17"/>
      <c r="M55" s="16"/>
      <c r="N55" s="16"/>
      <c r="O55" s="16"/>
      <c r="P55" s="25"/>
      <c r="Q55" s="33"/>
      <c r="R55" s="23"/>
      <c r="S55" s="28"/>
      <c r="T55" s="34"/>
      <c r="U55" s="34"/>
    </row>
    <row r="56" spans="1:21" s="1" customFormat="1" ht="18" customHeight="1">
      <c r="A56" s="11">
        <v>54</v>
      </c>
      <c r="B56" s="42" t="s">
        <v>78</v>
      </c>
      <c r="C56" s="34" t="s">
        <v>28</v>
      </c>
      <c r="D56" s="44"/>
      <c r="E56" s="28"/>
      <c r="F56" s="23">
        <v>37</v>
      </c>
      <c r="G56" s="24">
        <v>27</v>
      </c>
      <c r="H56" s="39"/>
      <c r="I56" s="39"/>
      <c r="J56" s="30">
        <v>3</v>
      </c>
      <c r="K56" s="16">
        <f t="shared" si="0"/>
        <v>24</v>
      </c>
      <c r="L56" s="17"/>
      <c r="M56" s="16"/>
      <c r="N56" s="16"/>
      <c r="O56" s="16">
        <f t="shared" si="1"/>
        <v>24</v>
      </c>
      <c r="P56" s="25"/>
      <c r="Q56" s="33"/>
      <c r="R56" s="23"/>
      <c r="S56" s="28"/>
      <c r="T56" s="34"/>
      <c r="U56" s="34"/>
    </row>
    <row r="57" spans="1:21" s="1" customFormat="1" ht="18" customHeight="1">
      <c r="A57" s="11">
        <v>55</v>
      </c>
      <c r="B57" s="42" t="s">
        <v>79</v>
      </c>
      <c r="C57" s="34" t="s">
        <v>28</v>
      </c>
      <c r="D57" s="44"/>
      <c r="E57" s="28"/>
      <c r="F57" s="23">
        <v>16</v>
      </c>
      <c r="G57" s="24">
        <v>32</v>
      </c>
      <c r="H57" s="39"/>
      <c r="I57" s="39"/>
      <c r="J57" s="30">
        <v>3.5</v>
      </c>
      <c r="K57" s="16">
        <f t="shared" si="0"/>
        <v>28</v>
      </c>
      <c r="L57" s="17">
        <v>3</v>
      </c>
      <c r="M57" s="16">
        <f t="shared" si="2"/>
        <v>36</v>
      </c>
      <c r="N57" s="16">
        <f t="shared" si="3"/>
        <v>12</v>
      </c>
      <c r="O57" s="16">
        <f t="shared" si="1"/>
        <v>76</v>
      </c>
      <c r="P57" s="25"/>
      <c r="Q57" s="33"/>
      <c r="R57" s="23"/>
      <c r="S57" s="28"/>
      <c r="T57" s="34"/>
      <c r="U57" s="34"/>
    </row>
    <row r="58" spans="1:21" s="1" customFormat="1" ht="18" customHeight="1">
      <c r="A58" s="11">
        <v>56</v>
      </c>
      <c r="B58" s="42" t="s">
        <v>80</v>
      </c>
      <c r="C58" s="34" t="s">
        <v>28</v>
      </c>
      <c r="D58" s="44" t="s">
        <v>430</v>
      </c>
      <c r="E58" s="28"/>
      <c r="F58" s="23"/>
      <c r="G58" s="24"/>
      <c r="H58" s="39"/>
      <c r="I58" s="39"/>
      <c r="J58" s="30"/>
      <c r="K58" s="16"/>
      <c r="L58" s="17"/>
      <c r="M58" s="16"/>
      <c r="N58" s="16"/>
      <c r="O58" s="16"/>
      <c r="P58" s="25"/>
      <c r="Q58" s="33"/>
      <c r="R58" s="23"/>
      <c r="S58" s="28"/>
      <c r="T58" s="34"/>
      <c r="U58" s="34"/>
    </row>
    <row r="59" spans="1:21" s="1" customFormat="1" ht="18" customHeight="1">
      <c r="A59" s="11">
        <v>57</v>
      </c>
      <c r="B59" s="42" t="s">
        <v>81</v>
      </c>
      <c r="C59" s="34" t="s">
        <v>28</v>
      </c>
      <c r="D59" s="44" t="s">
        <v>430</v>
      </c>
      <c r="E59" s="28"/>
      <c r="F59" s="23"/>
      <c r="G59" s="24"/>
      <c r="H59" s="39"/>
      <c r="I59" s="39"/>
      <c r="J59" s="30"/>
      <c r="K59" s="16"/>
      <c r="L59" s="17"/>
      <c r="M59" s="16"/>
      <c r="N59" s="16"/>
      <c r="O59" s="16"/>
      <c r="P59" s="25"/>
      <c r="Q59" s="33"/>
      <c r="R59" s="23"/>
      <c r="S59" s="28"/>
      <c r="T59" s="34"/>
      <c r="U59" s="34"/>
    </row>
    <row r="60" spans="1:21" s="1" customFormat="1" ht="18" customHeight="1">
      <c r="A60" s="11">
        <v>58</v>
      </c>
      <c r="B60" s="42" t="s">
        <v>82</v>
      </c>
      <c r="C60" s="34" t="s">
        <v>28</v>
      </c>
      <c r="D60" s="44"/>
      <c r="E60" s="28"/>
      <c r="F60" s="23">
        <v>16</v>
      </c>
      <c r="G60" s="24">
        <v>32</v>
      </c>
      <c r="H60" s="39"/>
      <c r="I60" s="39"/>
      <c r="J60" s="30">
        <v>7</v>
      </c>
      <c r="K60" s="16">
        <f t="shared" si="0"/>
        <v>56</v>
      </c>
      <c r="L60" s="17"/>
      <c r="M60" s="16"/>
      <c r="N60" s="16"/>
      <c r="O60" s="16">
        <f t="shared" si="1"/>
        <v>56</v>
      </c>
      <c r="P60" s="25"/>
      <c r="Q60" s="33"/>
      <c r="R60" s="23"/>
      <c r="S60" s="28"/>
      <c r="T60" s="34"/>
      <c r="U60" s="34"/>
    </row>
    <row r="61" spans="1:21" s="1" customFormat="1" ht="18" customHeight="1">
      <c r="A61" s="11">
        <v>59</v>
      </c>
      <c r="B61" s="42" t="s">
        <v>425</v>
      </c>
      <c r="C61" s="34" t="s">
        <v>28</v>
      </c>
      <c r="D61" s="44" t="s">
        <v>426</v>
      </c>
      <c r="E61" s="28"/>
      <c r="F61" s="23">
        <v>16</v>
      </c>
      <c r="G61" s="24">
        <v>24</v>
      </c>
      <c r="H61" s="39"/>
      <c r="I61" s="39"/>
      <c r="J61" s="30">
        <v>3.5</v>
      </c>
      <c r="K61" s="16">
        <f t="shared" si="0"/>
        <v>28</v>
      </c>
      <c r="L61" s="17">
        <v>7</v>
      </c>
      <c r="M61" s="16">
        <f t="shared" si="2"/>
        <v>84</v>
      </c>
      <c r="N61" s="16">
        <f t="shared" si="3"/>
        <v>28</v>
      </c>
      <c r="O61" s="16">
        <f t="shared" si="1"/>
        <v>140</v>
      </c>
      <c r="P61" s="25"/>
      <c r="Q61" s="33"/>
      <c r="R61" s="23"/>
      <c r="S61" s="28"/>
      <c r="T61" s="34"/>
      <c r="U61" s="34"/>
    </row>
    <row r="62" spans="1:21" ht="18" customHeight="1">
      <c r="A62" s="11">
        <v>60</v>
      </c>
      <c r="B62" s="41" t="s">
        <v>83</v>
      </c>
      <c r="C62" s="34" t="s">
        <v>84</v>
      </c>
      <c r="D62" s="44"/>
      <c r="E62" s="28"/>
      <c r="F62" s="23"/>
      <c r="G62" s="24">
        <v>16</v>
      </c>
      <c r="H62" s="39"/>
      <c r="I62" s="39"/>
      <c r="J62" s="30">
        <v>4.5</v>
      </c>
      <c r="K62" s="16">
        <f t="shared" si="0"/>
        <v>36</v>
      </c>
      <c r="L62" s="17">
        <v>9</v>
      </c>
      <c r="M62" s="16">
        <f t="shared" si="2"/>
        <v>108</v>
      </c>
      <c r="N62" s="16">
        <f t="shared" si="3"/>
        <v>36</v>
      </c>
      <c r="O62" s="16">
        <f t="shared" si="1"/>
        <v>180</v>
      </c>
      <c r="P62" s="25"/>
      <c r="Q62" s="33"/>
      <c r="R62" s="23"/>
      <c r="S62" s="28"/>
      <c r="T62" s="34"/>
      <c r="U62" s="34"/>
    </row>
    <row r="63" spans="1:21" ht="18" customHeight="1">
      <c r="A63" s="11">
        <v>61</v>
      </c>
      <c r="B63" s="41" t="s">
        <v>85</v>
      </c>
      <c r="C63" s="34" t="s">
        <v>84</v>
      </c>
      <c r="D63" s="36"/>
      <c r="E63" s="28"/>
      <c r="F63" s="23"/>
      <c r="G63" s="24">
        <v>8</v>
      </c>
      <c r="H63" s="39"/>
      <c r="I63" s="39"/>
      <c r="J63" s="30"/>
      <c r="K63" s="16"/>
      <c r="L63" s="17"/>
      <c r="M63" s="16"/>
      <c r="N63" s="16"/>
      <c r="O63" s="16"/>
      <c r="P63" s="25"/>
      <c r="Q63" s="33"/>
      <c r="R63" s="23"/>
      <c r="S63" s="28"/>
      <c r="T63" s="34"/>
      <c r="U63" s="34"/>
    </row>
    <row r="64" spans="1:21" ht="18" customHeight="1">
      <c r="A64" s="11">
        <v>62</v>
      </c>
      <c r="B64" s="41" t="s">
        <v>86</v>
      </c>
      <c r="C64" s="34" t="s">
        <v>84</v>
      </c>
      <c r="D64" s="36"/>
      <c r="E64" s="28"/>
      <c r="F64" s="23"/>
      <c r="G64" s="24">
        <v>32</v>
      </c>
      <c r="H64" s="39"/>
      <c r="I64" s="39"/>
      <c r="J64" s="30">
        <v>4</v>
      </c>
      <c r="K64" s="16">
        <f t="shared" si="0"/>
        <v>32</v>
      </c>
      <c r="L64" s="17">
        <v>6</v>
      </c>
      <c r="M64" s="16">
        <f t="shared" si="2"/>
        <v>72</v>
      </c>
      <c r="N64" s="16">
        <f t="shared" si="3"/>
        <v>24</v>
      </c>
      <c r="O64" s="16">
        <f t="shared" si="1"/>
        <v>128</v>
      </c>
      <c r="P64" s="25"/>
      <c r="Q64" s="33"/>
      <c r="R64" s="23"/>
      <c r="S64" s="28"/>
      <c r="T64" s="34"/>
      <c r="U64" s="34"/>
    </row>
    <row r="65" spans="1:21" ht="18" customHeight="1">
      <c r="A65" s="11">
        <v>63</v>
      </c>
      <c r="B65" s="41" t="s">
        <v>87</v>
      </c>
      <c r="C65" s="34" t="s">
        <v>84</v>
      </c>
      <c r="D65" s="36"/>
      <c r="E65" s="28"/>
      <c r="F65" s="23"/>
      <c r="G65" s="24">
        <v>16</v>
      </c>
      <c r="H65" s="39"/>
      <c r="I65" s="39"/>
      <c r="J65" s="30">
        <v>7</v>
      </c>
      <c r="K65" s="16">
        <f t="shared" si="0"/>
        <v>56</v>
      </c>
      <c r="L65" s="17">
        <v>10</v>
      </c>
      <c r="M65" s="16">
        <f t="shared" si="2"/>
        <v>120</v>
      </c>
      <c r="N65" s="16">
        <f t="shared" si="3"/>
        <v>40</v>
      </c>
      <c r="O65" s="16">
        <f t="shared" si="1"/>
        <v>216</v>
      </c>
      <c r="P65" s="25"/>
      <c r="Q65" s="33"/>
      <c r="R65" s="23"/>
      <c r="S65" s="28"/>
      <c r="T65" s="34"/>
      <c r="U65" s="34"/>
    </row>
    <row r="66" spans="1:21" ht="18" customHeight="1">
      <c r="A66" s="11">
        <v>64</v>
      </c>
      <c r="B66" s="41" t="s">
        <v>88</v>
      </c>
      <c r="C66" s="34" t="s">
        <v>84</v>
      </c>
      <c r="D66" s="36"/>
      <c r="E66" s="28"/>
      <c r="F66" s="23"/>
      <c r="G66" s="24"/>
      <c r="H66" s="39"/>
      <c r="I66" s="39"/>
      <c r="J66" s="30">
        <v>5.5</v>
      </c>
      <c r="K66" s="16">
        <f t="shared" si="0"/>
        <v>44</v>
      </c>
      <c r="L66" s="17">
        <v>8</v>
      </c>
      <c r="M66" s="16">
        <f t="shared" si="2"/>
        <v>96</v>
      </c>
      <c r="N66" s="16">
        <f t="shared" si="3"/>
        <v>32</v>
      </c>
      <c r="O66" s="16">
        <f t="shared" si="1"/>
        <v>172</v>
      </c>
      <c r="P66" s="25"/>
      <c r="Q66" s="33"/>
      <c r="R66" s="23"/>
      <c r="S66" s="28"/>
      <c r="T66" s="34"/>
      <c r="U66" s="34"/>
    </row>
    <row r="67" spans="1:21" ht="18" customHeight="1">
      <c r="A67" s="11">
        <v>65</v>
      </c>
      <c r="B67" s="41" t="s">
        <v>89</v>
      </c>
      <c r="C67" s="34" t="s">
        <v>84</v>
      </c>
      <c r="D67" s="36" t="s">
        <v>429</v>
      </c>
      <c r="E67" s="28"/>
      <c r="F67" s="23"/>
      <c r="G67" s="24">
        <v>16</v>
      </c>
      <c r="H67" s="39"/>
      <c r="I67" s="39"/>
      <c r="J67" s="30"/>
      <c r="K67" s="16"/>
      <c r="L67" s="17"/>
      <c r="M67" s="16"/>
      <c r="N67" s="16"/>
      <c r="O67" s="16"/>
      <c r="P67" s="25"/>
      <c r="Q67" s="33"/>
      <c r="R67" s="23"/>
      <c r="S67" s="28"/>
      <c r="T67" s="34"/>
      <c r="U67" s="34"/>
    </row>
    <row r="68" spans="1:21" ht="18" customHeight="1">
      <c r="A68" s="11">
        <v>66</v>
      </c>
      <c r="B68" s="41" t="s">
        <v>90</v>
      </c>
      <c r="C68" s="34" t="s">
        <v>84</v>
      </c>
      <c r="D68" s="36"/>
      <c r="E68" s="28"/>
      <c r="F68" s="23"/>
      <c r="G68" s="24"/>
      <c r="H68" s="39"/>
      <c r="I68" s="39"/>
      <c r="J68" s="30">
        <v>8.5</v>
      </c>
      <c r="K68" s="16">
        <f t="shared" si="0"/>
        <v>68</v>
      </c>
      <c r="L68" s="17">
        <v>5</v>
      </c>
      <c r="M68" s="16">
        <f t="shared" si="2"/>
        <v>60</v>
      </c>
      <c r="N68" s="16">
        <f t="shared" si="3"/>
        <v>20</v>
      </c>
      <c r="O68" s="16">
        <f t="shared" si="1"/>
        <v>148</v>
      </c>
      <c r="P68" s="25"/>
      <c r="Q68" s="33"/>
      <c r="R68" s="23"/>
      <c r="S68" s="28"/>
      <c r="T68" s="34"/>
      <c r="U68" s="34"/>
    </row>
    <row r="69" spans="1:21" ht="18" customHeight="1">
      <c r="A69" s="11">
        <v>67</v>
      </c>
      <c r="B69" s="41" t="s">
        <v>91</v>
      </c>
      <c r="C69" s="34" t="s">
        <v>84</v>
      </c>
      <c r="D69" s="36"/>
      <c r="E69" s="28"/>
      <c r="F69" s="23"/>
      <c r="G69" s="24">
        <v>16</v>
      </c>
      <c r="H69" s="39"/>
      <c r="I69" s="39"/>
      <c r="J69" s="30">
        <v>7.5</v>
      </c>
      <c r="K69" s="16">
        <f t="shared" si="0"/>
        <v>60</v>
      </c>
      <c r="L69" s="17">
        <v>9</v>
      </c>
      <c r="M69" s="16">
        <f t="shared" si="2"/>
        <v>108</v>
      </c>
      <c r="N69" s="16">
        <f t="shared" si="3"/>
        <v>36</v>
      </c>
      <c r="O69" s="16">
        <f t="shared" si="1"/>
        <v>204</v>
      </c>
      <c r="P69" s="25"/>
      <c r="Q69" s="33"/>
      <c r="R69" s="23"/>
      <c r="S69" s="28"/>
      <c r="T69" s="34"/>
      <c r="U69" s="34"/>
    </row>
    <row r="70" spans="1:21" ht="18" customHeight="1">
      <c r="A70" s="11">
        <v>68</v>
      </c>
      <c r="B70" s="41" t="s">
        <v>92</v>
      </c>
      <c r="C70" s="34" t="s">
        <v>84</v>
      </c>
      <c r="D70" s="36"/>
      <c r="E70" s="28"/>
      <c r="F70" s="23"/>
      <c r="G70" s="24">
        <v>8</v>
      </c>
      <c r="H70" s="39"/>
      <c r="I70" s="39"/>
      <c r="J70" s="30">
        <v>1.5</v>
      </c>
      <c r="K70" s="16">
        <f t="shared" si="0"/>
        <v>12</v>
      </c>
      <c r="L70" s="17">
        <v>3</v>
      </c>
      <c r="M70" s="16">
        <f t="shared" si="2"/>
        <v>36</v>
      </c>
      <c r="N70" s="16">
        <f t="shared" si="3"/>
        <v>12</v>
      </c>
      <c r="O70" s="16">
        <f t="shared" si="1"/>
        <v>60</v>
      </c>
      <c r="P70" s="25"/>
      <c r="Q70" s="33"/>
      <c r="R70" s="23"/>
      <c r="S70" s="28"/>
      <c r="T70" s="34"/>
      <c r="U70" s="34"/>
    </row>
    <row r="71" spans="1:21" ht="18" customHeight="1">
      <c r="A71" s="11">
        <v>69</v>
      </c>
      <c r="B71" s="41" t="s">
        <v>93</v>
      </c>
      <c r="C71" s="34" t="s">
        <v>84</v>
      </c>
      <c r="D71" s="36"/>
      <c r="E71" s="28"/>
      <c r="F71" s="23"/>
      <c r="G71" s="24">
        <v>40</v>
      </c>
      <c r="H71" s="39"/>
      <c r="I71" s="39"/>
      <c r="J71" s="30">
        <v>4</v>
      </c>
      <c r="K71" s="16">
        <f t="shared" si="0"/>
        <v>32</v>
      </c>
      <c r="L71" s="17">
        <v>4</v>
      </c>
      <c r="M71" s="16">
        <f t="shared" si="2"/>
        <v>48</v>
      </c>
      <c r="N71" s="16">
        <f t="shared" si="3"/>
        <v>16</v>
      </c>
      <c r="O71" s="16">
        <f t="shared" si="1"/>
        <v>96</v>
      </c>
      <c r="P71" s="25"/>
      <c r="Q71" s="33"/>
      <c r="R71" s="23"/>
      <c r="S71" s="28"/>
      <c r="T71" s="34"/>
      <c r="U71" s="34"/>
    </row>
    <row r="72" spans="1:21" ht="18" customHeight="1">
      <c r="A72" s="11">
        <v>70</v>
      </c>
      <c r="B72" s="41" t="s">
        <v>94</v>
      </c>
      <c r="C72" s="34" t="s">
        <v>84</v>
      </c>
      <c r="D72" s="36"/>
      <c r="E72" s="28"/>
      <c r="F72" s="23"/>
      <c r="G72" s="24">
        <v>32</v>
      </c>
      <c r="H72" s="39"/>
      <c r="I72" s="39"/>
      <c r="J72" s="30"/>
      <c r="K72" s="16"/>
      <c r="L72" s="17"/>
      <c r="M72" s="16"/>
      <c r="N72" s="16"/>
      <c r="O72" s="16"/>
      <c r="P72" s="25"/>
      <c r="Q72" s="33"/>
      <c r="R72" s="23"/>
      <c r="S72" s="28"/>
      <c r="T72" s="34"/>
      <c r="U72" s="34"/>
    </row>
    <row r="73" spans="1:21" ht="18" customHeight="1">
      <c r="A73" s="11">
        <v>71</v>
      </c>
      <c r="B73" s="41" t="s">
        <v>95</v>
      </c>
      <c r="C73" s="34" t="s">
        <v>96</v>
      </c>
      <c r="D73" s="36"/>
      <c r="E73" s="28"/>
      <c r="F73" s="23"/>
      <c r="G73" s="24"/>
      <c r="H73" s="39"/>
      <c r="I73" s="39"/>
      <c r="J73" s="30">
        <v>3</v>
      </c>
      <c r="K73" s="16">
        <f t="shared" ref="K73:K136" si="4">J73*8</f>
        <v>24</v>
      </c>
      <c r="L73" s="17">
        <v>4</v>
      </c>
      <c r="M73" s="16">
        <f t="shared" ref="M73:M133" si="5">L73*12</f>
        <v>48</v>
      </c>
      <c r="N73" s="16">
        <f t="shared" ref="N73:N133" si="6">L73*4</f>
        <v>16</v>
      </c>
      <c r="O73" s="16">
        <f t="shared" ref="O73:O136" si="7">N73+M73+K73</f>
        <v>88</v>
      </c>
      <c r="P73" s="25"/>
      <c r="Q73" s="33"/>
      <c r="R73" s="23"/>
      <c r="S73" s="28"/>
      <c r="T73" s="34"/>
      <c r="U73" s="34"/>
    </row>
    <row r="74" spans="1:21" ht="18" customHeight="1">
      <c r="A74" s="11">
        <v>72</v>
      </c>
      <c r="B74" s="41" t="s">
        <v>97</v>
      </c>
      <c r="C74" s="34" t="s">
        <v>96</v>
      </c>
      <c r="D74" s="36"/>
      <c r="E74" s="28"/>
      <c r="F74" s="23"/>
      <c r="G74" s="24">
        <v>8</v>
      </c>
      <c r="H74" s="39"/>
      <c r="I74" s="39"/>
      <c r="J74" s="30"/>
      <c r="K74" s="16"/>
      <c r="L74" s="17"/>
      <c r="M74" s="16"/>
      <c r="N74" s="16"/>
      <c r="O74" s="16"/>
      <c r="P74" s="25"/>
      <c r="Q74" s="33"/>
      <c r="R74" s="23"/>
      <c r="S74" s="28"/>
      <c r="T74" s="34"/>
      <c r="U74" s="34"/>
    </row>
    <row r="75" spans="1:21" ht="18" customHeight="1">
      <c r="A75" s="11">
        <v>73</v>
      </c>
      <c r="B75" s="41" t="s">
        <v>98</v>
      </c>
      <c r="C75" s="34" t="s">
        <v>96</v>
      </c>
      <c r="D75" s="36"/>
      <c r="E75" s="28"/>
      <c r="F75" s="23"/>
      <c r="G75" s="24">
        <v>40</v>
      </c>
      <c r="H75" s="39"/>
      <c r="I75" s="39"/>
      <c r="J75" s="30">
        <v>3.5</v>
      </c>
      <c r="K75" s="16">
        <f t="shared" si="4"/>
        <v>28</v>
      </c>
      <c r="L75" s="17">
        <v>8</v>
      </c>
      <c r="M75" s="16">
        <f t="shared" si="5"/>
        <v>96</v>
      </c>
      <c r="N75" s="16">
        <f t="shared" si="6"/>
        <v>32</v>
      </c>
      <c r="O75" s="16">
        <f t="shared" si="7"/>
        <v>156</v>
      </c>
      <c r="P75" s="25"/>
      <c r="Q75" s="33"/>
      <c r="R75" s="23"/>
      <c r="S75" s="28"/>
      <c r="T75" s="34"/>
      <c r="U75" s="34"/>
    </row>
    <row r="76" spans="1:21" ht="18" customHeight="1">
      <c r="A76" s="11">
        <v>74</v>
      </c>
      <c r="B76" s="41" t="s">
        <v>99</v>
      </c>
      <c r="C76" s="34" t="s">
        <v>96</v>
      </c>
      <c r="D76" s="36"/>
      <c r="E76" s="28"/>
      <c r="F76" s="23">
        <v>16</v>
      </c>
      <c r="G76" s="24">
        <v>48</v>
      </c>
      <c r="H76" s="39"/>
      <c r="I76" s="39"/>
      <c r="J76" s="30">
        <v>3</v>
      </c>
      <c r="K76" s="16">
        <f t="shared" si="4"/>
        <v>24</v>
      </c>
      <c r="L76" s="17">
        <v>4</v>
      </c>
      <c r="M76" s="16">
        <f t="shared" si="5"/>
        <v>48</v>
      </c>
      <c r="N76" s="16">
        <f t="shared" si="6"/>
        <v>16</v>
      </c>
      <c r="O76" s="16">
        <f t="shared" si="7"/>
        <v>88</v>
      </c>
      <c r="P76" s="25"/>
      <c r="Q76" s="33"/>
      <c r="R76" s="23"/>
      <c r="S76" s="28"/>
      <c r="T76" s="34"/>
      <c r="U76" s="34"/>
    </row>
    <row r="77" spans="1:21" ht="18" customHeight="1">
      <c r="A77" s="11">
        <v>75</v>
      </c>
      <c r="B77" s="41" t="s">
        <v>100</v>
      </c>
      <c r="C77" s="34" t="s">
        <v>96</v>
      </c>
      <c r="D77" s="36"/>
      <c r="E77" s="28"/>
      <c r="F77" s="23"/>
      <c r="G77" s="24">
        <v>8</v>
      </c>
      <c r="H77" s="39"/>
      <c r="I77" s="39"/>
      <c r="J77" s="30">
        <v>5.5</v>
      </c>
      <c r="K77" s="16">
        <f t="shared" si="4"/>
        <v>44</v>
      </c>
      <c r="L77" s="17">
        <v>8</v>
      </c>
      <c r="M77" s="16">
        <f t="shared" si="5"/>
        <v>96</v>
      </c>
      <c r="N77" s="16">
        <f t="shared" si="6"/>
        <v>32</v>
      </c>
      <c r="O77" s="16">
        <f t="shared" si="7"/>
        <v>172</v>
      </c>
      <c r="P77" s="25"/>
      <c r="Q77" s="33"/>
      <c r="R77" s="23"/>
      <c r="S77" s="28"/>
      <c r="T77" s="34"/>
      <c r="U77" s="34"/>
    </row>
    <row r="78" spans="1:21" ht="18" customHeight="1">
      <c r="A78" s="11">
        <v>76</v>
      </c>
      <c r="B78" s="41" t="s">
        <v>101</v>
      </c>
      <c r="C78" s="34" t="s">
        <v>96</v>
      </c>
      <c r="D78" s="36"/>
      <c r="E78" s="28"/>
      <c r="F78" s="23"/>
      <c r="G78" s="24"/>
      <c r="H78" s="39"/>
      <c r="I78" s="39"/>
      <c r="J78" s="30">
        <v>3</v>
      </c>
      <c r="K78" s="16">
        <f t="shared" si="4"/>
        <v>24</v>
      </c>
      <c r="L78" s="17">
        <v>4</v>
      </c>
      <c r="M78" s="16">
        <f t="shared" si="5"/>
        <v>48</v>
      </c>
      <c r="N78" s="16">
        <f t="shared" si="6"/>
        <v>16</v>
      </c>
      <c r="O78" s="16">
        <f t="shared" si="7"/>
        <v>88</v>
      </c>
      <c r="P78" s="25"/>
      <c r="Q78" s="33"/>
      <c r="R78" s="23"/>
      <c r="S78" s="28"/>
      <c r="T78" s="34"/>
      <c r="U78" s="34"/>
    </row>
    <row r="79" spans="1:21" ht="18" customHeight="1">
      <c r="A79" s="11">
        <v>77</v>
      </c>
      <c r="B79" s="41" t="s">
        <v>102</v>
      </c>
      <c r="C79" s="34" t="s">
        <v>96</v>
      </c>
      <c r="D79" s="46"/>
      <c r="E79" s="28"/>
      <c r="F79" s="23"/>
      <c r="G79" s="24">
        <v>32</v>
      </c>
      <c r="H79" s="39"/>
      <c r="I79" s="39"/>
      <c r="J79" s="30">
        <v>2.5</v>
      </c>
      <c r="K79" s="16">
        <f t="shared" si="4"/>
        <v>20</v>
      </c>
      <c r="L79" s="17">
        <v>4</v>
      </c>
      <c r="M79" s="16">
        <f t="shared" si="5"/>
        <v>48</v>
      </c>
      <c r="N79" s="16">
        <f t="shared" si="6"/>
        <v>16</v>
      </c>
      <c r="O79" s="16">
        <f t="shared" si="7"/>
        <v>84</v>
      </c>
      <c r="P79" s="25"/>
      <c r="Q79" s="33"/>
      <c r="R79" s="23"/>
      <c r="S79" s="28"/>
      <c r="T79" s="34"/>
      <c r="U79" s="34"/>
    </row>
    <row r="80" spans="1:21" ht="18" customHeight="1">
      <c r="A80" s="11">
        <v>78</v>
      </c>
      <c r="B80" s="41" t="s">
        <v>103</v>
      </c>
      <c r="C80" s="34" t="s">
        <v>96</v>
      </c>
      <c r="D80" s="36"/>
      <c r="E80" s="28"/>
      <c r="F80" s="23"/>
      <c r="G80" s="24">
        <v>40</v>
      </c>
      <c r="H80" s="39"/>
      <c r="I80" s="39"/>
      <c r="J80" s="30">
        <v>7.5</v>
      </c>
      <c r="K80" s="16">
        <f t="shared" si="4"/>
        <v>60</v>
      </c>
      <c r="L80" s="17">
        <v>7</v>
      </c>
      <c r="M80" s="16">
        <f t="shared" si="5"/>
        <v>84</v>
      </c>
      <c r="N80" s="16">
        <f t="shared" si="6"/>
        <v>28</v>
      </c>
      <c r="O80" s="16">
        <f t="shared" si="7"/>
        <v>172</v>
      </c>
      <c r="P80" s="25"/>
      <c r="Q80" s="33"/>
      <c r="R80" s="23"/>
      <c r="S80" s="28"/>
      <c r="T80" s="34"/>
      <c r="U80" s="34"/>
    </row>
    <row r="81" spans="1:21" ht="18" customHeight="1">
      <c r="A81" s="11">
        <v>79</v>
      </c>
      <c r="B81" s="41" t="s">
        <v>104</v>
      </c>
      <c r="C81" s="34" t="s">
        <v>96</v>
      </c>
      <c r="D81" s="36"/>
      <c r="E81" s="28"/>
      <c r="F81" s="23"/>
      <c r="G81" s="24">
        <v>40</v>
      </c>
      <c r="H81" s="39"/>
      <c r="I81" s="39"/>
      <c r="J81" s="30">
        <v>3</v>
      </c>
      <c r="K81" s="16">
        <f t="shared" si="4"/>
        <v>24</v>
      </c>
      <c r="L81" s="17">
        <v>4</v>
      </c>
      <c r="M81" s="16">
        <f t="shared" si="5"/>
        <v>48</v>
      </c>
      <c r="N81" s="16">
        <f t="shared" si="6"/>
        <v>16</v>
      </c>
      <c r="O81" s="16">
        <f t="shared" si="7"/>
        <v>88</v>
      </c>
      <c r="P81" s="25"/>
      <c r="Q81" s="33"/>
      <c r="R81" s="23"/>
      <c r="S81" s="28"/>
      <c r="T81" s="34"/>
      <c r="U81" s="34"/>
    </row>
    <row r="82" spans="1:21" ht="18" customHeight="1">
      <c r="A82" s="11">
        <v>80</v>
      </c>
      <c r="B82" s="41" t="s">
        <v>105</v>
      </c>
      <c r="C82" s="34" t="s">
        <v>96</v>
      </c>
      <c r="D82" s="36"/>
      <c r="E82" s="28"/>
      <c r="F82" s="23"/>
      <c r="G82" s="24">
        <v>40</v>
      </c>
      <c r="H82" s="39"/>
      <c r="I82" s="39"/>
      <c r="J82" s="30">
        <v>3</v>
      </c>
      <c r="K82" s="16">
        <f t="shared" si="4"/>
        <v>24</v>
      </c>
      <c r="L82" s="17">
        <v>4</v>
      </c>
      <c r="M82" s="16">
        <f t="shared" si="5"/>
        <v>48</v>
      </c>
      <c r="N82" s="16">
        <f t="shared" si="6"/>
        <v>16</v>
      </c>
      <c r="O82" s="16">
        <f t="shared" si="7"/>
        <v>88</v>
      </c>
      <c r="P82" s="25"/>
      <c r="Q82" s="33"/>
      <c r="R82" s="23"/>
      <c r="S82" s="28"/>
      <c r="T82" s="34"/>
      <c r="U82" s="34"/>
    </row>
    <row r="83" spans="1:21" ht="18" customHeight="1">
      <c r="A83" s="11">
        <v>81</v>
      </c>
      <c r="B83" s="41" t="s">
        <v>106</v>
      </c>
      <c r="C83" s="34" t="s">
        <v>96</v>
      </c>
      <c r="D83" s="36"/>
      <c r="E83" s="28"/>
      <c r="F83" s="23"/>
      <c r="G83" s="24">
        <v>32</v>
      </c>
      <c r="H83" s="39"/>
      <c r="I83" s="39"/>
      <c r="J83" s="30">
        <v>5</v>
      </c>
      <c r="K83" s="16">
        <f t="shared" si="4"/>
        <v>40</v>
      </c>
      <c r="L83" s="17">
        <v>8</v>
      </c>
      <c r="M83" s="16">
        <f t="shared" si="5"/>
        <v>96</v>
      </c>
      <c r="N83" s="16">
        <f t="shared" si="6"/>
        <v>32</v>
      </c>
      <c r="O83" s="16">
        <f t="shared" si="7"/>
        <v>168</v>
      </c>
      <c r="P83" s="25"/>
      <c r="Q83" s="33"/>
      <c r="R83" s="23"/>
      <c r="S83" s="28"/>
      <c r="T83" s="34"/>
      <c r="U83" s="34"/>
    </row>
    <row r="84" spans="1:21" ht="18" customHeight="1">
      <c r="A84" s="11">
        <v>82</v>
      </c>
      <c r="B84" s="41" t="s">
        <v>107</v>
      </c>
      <c r="C84" s="34" t="s">
        <v>96</v>
      </c>
      <c r="D84" s="36"/>
      <c r="E84" s="28"/>
      <c r="F84" s="23"/>
      <c r="G84" s="24">
        <v>8</v>
      </c>
      <c r="H84" s="39"/>
      <c r="I84" s="39"/>
      <c r="J84" s="30">
        <v>4</v>
      </c>
      <c r="K84" s="16">
        <f t="shared" si="4"/>
        <v>32</v>
      </c>
      <c r="L84" s="17">
        <v>4</v>
      </c>
      <c r="M84" s="16">
        <f t="shared" si="5"/>
        <v>48</v>
      </c>
      <c r="N84" s="16">
        <f t="shared" si="6"/>
        <v>16</v>
      </c>
      <c r="O84" s="16">
        <f t="shared" si="7"/>
        <v>96</v>
      </c>
      <c r="P84" s="25"/>
      <c r="Q84" s="33"/>
      <c r="R84" s="23"/>
      <c r="S84" s="28"/>
      <c r="T84" s="34"/>
      <c r="U84" s="34"/>
    </row>
    <row r="85" spans="1:21" ht="18" customHeight="1">
      <c r="A85" s="11">
        <v>83</v>
      </c>
      <c r="B85" s="41" t="s">
        <v>108</v>
      </c>
      <c r="C85" s="34" t="s">
        <v>96</v>
      </c>
      <c r="D85" s="36"/>
      <c r="E85" s="28"/>
      <c r="F85" s="23"/>
      <c r="G85" s="24">
        <v>8</v>
      </c>
      <c r="H85" s="39"/>
      <c r="I85" s="39"/>
      <c r="J85" s="30">
        <v>1.5</v>
      </c>
      <c r="K85" s="16">
        <f t="shared" si="4"/>
        <v>12</v>
      </c>
      <c r="L85" s="17">
        <v>3</v>
      </c>
      <c r="M85" s="16">
        <f t="shared" si="5"/>
        <v>36</v>
      </c>
      <c r="N85" s="16">
        <f t="shared" si="6"/>
        <v>12</v>
      </c>
      <c r="O85" s="16">
        <f t="shared" si="7"/>
        <v>60</v>
      </c>
      <c r="P85" s="25"/>
      <c r="Q85" s="33"/>
      <c r="R85" s="23"/>
      <c r="S85" s="28"/>
      <c r="T85" s="34"/>
      <c r="U85" s="34"/>
    </row>
    <row r="86" spans="1:21" ht="18" customHeight="1">
      <c r="A86" s="11">
        <v>84</v>
      </c>
      <c r="B86" s="41" t="s">
        <v>109</v>
      </c>
      <c r="C86" s="34" t="s">
        <v>96</v>
      </c>
      <c r="D86" s="36"/>
      <c r="E86" s="28"/>
      <c r="F86" s="23"/>
      <c r="G86" s="24">
        <v>32</v>
      </c>
      <c r="H86" s="39"/>
      <c r="I86" s="39"/>
      <c r="J86" s="30">
        <v>5.5</v>
      </c>
      <c r="K86" s="16">
        <f t="shared" si="4"/>
        <v>44</v>
      </c>
      <c r="L86" s="17">
        <v>9</v>
      </c>
      <c r="M86" s="16">
        <f t="shared" si="5"/>
        <v>108</v>
      </c>
      <c r="N86" s="16">
        <f t="shared" si="6"/>
        <v>36</v>
      </c>
      <c r="O86" s="16">
        <f t="shared" si="7"/>
        <v>188</v>
      </c>
      <c r="P86" s="25"/>
      <c r="Q86" s="33"/>
      <c r="R86" s="23"/>
      <c r="S86" s="28"/>
      <c r="T86" s="34"/>
      <c r="U86" s="34"/>
    </row>
    <row r="87" spans="1:21" ht="18" customHeight="1">
      <c r="A87" s="11">
        <v>85</v>
      </c>
      <c r="B87" s="41" t="s">
        <v>110</v>
      </c>
      <c r="C87" s="34" t="s">
        <v>96</v>
      </c>
      <c r="D87" s="36"/>
      <c r="E87" s="28"/>
      <c r="F87" s="23"/>
      <c r="G87" s="24">
        <v>32</v>
      </c>
      <c r="H87" s="39"/>
      <c r="I87" s="39"/>
      <c r="J87" s="30">
        <v>5</v>
      </c>
      <c r="K87" s="16">
        <f t="shared" si="4"/>
        <v>40</v>
      </c>
      <c r="L87" s="17">
        <v>8</v>
      </c>
      <c r="M87" s="16">
        <f t="shared" si="5"/>
        <v>96</v>
      </c>
      <c r="N87" s="16">
        <f t="shared" si="6"/>
        <v>32</v>
      </c>
      <c r="O87" s="16">
        <f t="shared" si="7"/>
        <v>168</v>
      </c>
      <c r="P87" s="25"/>
      <c r="Q87" s="33"/>
      <c r="R87" s="23"/>
      <c r="S87" s="28"/>
      <c r="T87" s="34"/>
      <c r="U87" s="34"/>
    </row>
    <row r="88" spans="1:21" ht="18" customHeight="1">
      <c r="A88" s="11">
        <v>86</v>
      </c>
      <c r="B88" s="41" t="s">
        <v>111</v>
      </c>
      <c r="C88" s="34" t="s">
        <v>96</v>
      </c>
      <c r="D88" s="36"/>
      <c r="E88" s="28"/>
      <c r="F88" s="23"/>
      <c r="G88" s="24"/>
      <c r="H88" s="39"/>
      <c r="I88" s="39"/>
      <c r="J88" s="30">
        <v>3</v>
      </c>
      <c r="K88" s="16">
        <f t="shared" si="4"/>
        <v>24</v>
      </c>
      <c r="L88" s="17">
        <v>4</v>
      </c>
      <c r="M88" s="16">
        <f t="shared" si="5"/>
        <v>48</v>
      </c>
      <c r="N88" s="16">
        <f t="shared" si="6"/>
        <v>16</v>
      </c>
      <c r="O88" s="16">
        <f t="shared" si="7"/>
        <v>88</v>
      </c>
      <c r="P88" s="25"/>
      <c r="Q88" s="33"/>
      <c r="R88" s="23"/>
      <c r="S88" s="28"/>
      <c r="T88" s="34"/>
      <c r="U88" s="34"/>
    </row>
    <row r="89" spans="1:21" ht="18" customHeight="1">
      <c r="A89" s="11">
        <v>87</v>
      </c>
      <c r="B89" s="41" t="s">
        <v>112</v>
      </c>
      <c r="C89" s="34" t="s">
        <v>96</v>
      </c>
      <c r="D89" s="36"/>
      <c r="E89" s="28"/>
      <c r="F89" s="23"/>
      <c r="G89" s="24">
        <v>40</v>
      </c>
      <c r="H89" s="39"/>
      <c r="I89" s="39"/>
      <c r="J89" s="30">
        <v>4</v>
      </c>
      <c r="K89" s="16">
        <f t="shared" si="4"/>
        <v>32</v>
      </c>
      <c r="L89" s="17">
        <v>4</v>
      </c>
      <c r="M89" s="16">
        <f t="shared" si="5"/>
        <v>48</v>
      </c>
      <c r="N89" s="16">
        <f t="shared" si="6"/>
        <v>16</v>
      </c>
      <c r="O89" s="16">
        <f t="shared" si="7"/>
        <v>96</v>
      </c>
      <c r="P89" s="25"/>
      <c r="Q89" s="33"/>
      <c r="R89" s="23"/>
      <c r="S89" s="28"/>
      <c r="T89" s="34"/>
      <c r="U89" s="34"/>
    </row>
    <row r="90" spans="1:21" ht="18" customHeight="1">
      <c r="A90" s="11">
        <v>88</v>
      </c>
      <c r="B90" s="41" t="s">
        <v>113</v>
      </c>
      <c r="C90" s="34" t="s">
        <v>96</v>
      </c>
      <c r="D90" s="36"/>
      <c r="E90" s="28"/>
      <c r="F90" s="23"/>
      <c r="G90" s="24">
        <v>72</v>
      </c>
      <c r="H90" s="39"/>
      <c r="I90" s="39"/>
      <c r="J90" s="30"/>
      <c r="K90" s="16"/>
      <c r="L90" s="17"/>
      <c r="M90" s="16"/>
      <c r="N90" s="16"/>
      <c r="O90" s="16"/>
      <c r="P90" s="25"/>
      <c r="Q90" s="33"/>
      <c r="R90" s="23"/>
      <c r="S90" s="28"/>
      <c r="T90" s="34"/>
      <c r="U90" s="34"/>
    </row>
    <row r="91" spans="1:21" ht="18" customHeight="1">
      <c r="A91" s="11">
        <v>89</v>
      </c>
      <c r="B91" s="41" t="s">
        <v>114</v>
      </c>
      <c r="C91" s="34" t="s">
        <v>96</v>
      </c>
      <c r="D91" s="36"/>
      <c r="E91" s="28"/>
      <c r="F91" s="23"/>
      <c r="G91" s="24"/>
      <c r="H91" s="39"/>
      <c r="I91" s="39"/>
      <c r="J91" s="30">
        <v>7</v>
      </c>
      <c r="K91" s="16">
        <f t="shared" si="4"/>
        <v>56</v>
      </c>
      <c r="L91" s="17">
        <v>10</v>
      </c>
      <c r="M91" s="16">
        <f t="shared" si="5"/>
        <v>120</v>
      </c>
      <c r="N91" s="16">
        <f t="shared" si="6"/>
        <v>40</v>
      </c>
      <c r="O91" s="16">
        <f t="shared" si="7"/>
        <v>216</v>
      </c>
      <c r="P91" s="25"/>
      <c r="Q91" s="33"/>
      <c r="R91" s="23"/>
      <c r="S91" s="28"/>
      <c r="T91" s="34"/>
      <c r="U91" s="34"/>
    </row>
    <row r="92" spans="1:21" ht="18" customHeight="1">
      <c r="A92" s="11">
        <v>90</v>
      </c>
      <c r="B92" s="41" t="s">
        <v>115</v>
      </c>
      <c r="C92" s="34" t="s">
        <v>96</v>
      </c>
      <c r="D92" s="36"/>
      <c r="E92" s="28"/>
      <c r="F92" s="23"/>
      <c r="G92" s="24"/>
      <c r="H92" s="39"/>
      <c r="I92" s="39"/>
      <c r="J92" s="30">
        <v>4</v>
      </c>
      <c r="K92" s="16">
        <f t="shared" si="4"/>
        <v>32</v>
      </c>
      <c r="L92" s="17">
        <v>4</v>
      </c>
      <c r="M92" s="16">
        <f t="shared" si="5"/>
        <v>48</v>
      </c>
      <c r="N92" s="16">
        <f t="shared" si="6"/>
        <v>16</v>
      </c>
      <c r="O92" s="16">
        <f t="shared" si="7"/>
        <v>96</v>
      </c>
      <c r="P92" s="25"/>
      <c r="Q92" s="33"/>
      <c r="R92" s="23"/>
      <c r="S92" s="28"/>
      <c r="T92" s="34"/>
      <c r="U92" s="34"/>
    </row>
    <row r="93" spans="1:21" ht="18" customHeight="1">
      <c r="A93" s="11">
        <v>91</v>
      </c>
      <c r="B93" s="41" t="s">
        <v>116</v>
      </c>
      <c r="C93" s="34" t="s">
        <v>96</v>
      </c>
      <c r="D93" s="36"/>
      <c r="E93" s="28"/>
      <c r="F93" s="23"/>
      <c r="G93" s="24"/>
      <c r="H93" s="39"/>
      <c r="I93" s="39"/>
      <c r="J93" s="30">
        <v>6.5</v>
      </c>
      <c r="K93" s="16">
        <f t="shared" si="4"/>
        <v>52</v>
      </c>
      <c r="L93" s="17">
        <v>9</v>
      </c>
      <c r="M93" s="16">
        <f t="shared" si="5"/>
        <v>108</v>
      </c>
      <c r="N93" s="16">
        <f t="shared" si="6"/>
        <v>36</v>
      </c>
      <c r="O93" s="16">
        <f t="shared" si="7"/>
        <v>196</v>
      </c>
      <c r="P93" s="25"/>
      <c r="Q93" s="33"/>
      <c r="R93" s="23"/>
      <c r="S93" s="28"/>
      <c r="T93" s="34"/>
      <c r="U93" s="34"/>
    </row>
    <row r="94" spans="1:21" ht="18" customHeight="1">
      <c r="A94" s="11">
        <v>92</v>
      </c>
      <c r="B94" s="41" t="s">
        <v>117</v>
      </c>
      <c r="C94" s="34" t="s">
        <v>96</v>
      </c>
      <c r="D94" s="36"/>
      <c r="E94" s="28"/>
      <c r="F94" s="23"/>
      <c r="G94" s="24"/>
      <c r="H94" s="39"/>
      <c r="I94" s="39"/>
      <c r="J94" s="30">
        <v>6.5</v>
      </c>
      <c r="K94" s="16">
        <f t="shared" si="4"/>
        <v>52</v>
      </c>
      <c r="L94" s="17">
        <v>5</v>
      </c>
      <c r="M94" s="16">
        <f t="shared" si="5"/>
        <v>60</v>
      </c>
      <c r="N94" s="16">
        <f t="shared" si="6"/>
        <v>20</v>
      </c>
      <c r="O94" s="16">
        <f t="shared" si="7"/>
        <v>132</v>
      </c>
      <c r="P94" s="25"/>
      <c r="Q94" s="33"/>
      <c r="R94" s="23"/>
      <c r="S94" s="28"/>
      <c r="T94" s="34"/>
      <c r="U94" s="34"/>
    </row>
    <row r="95" spans="1:21" ht="18" customHeight="1">
      <c r="A95" s="11">
        <v>93</v>
      </c>
      <c r="B95" s="41" t="s">
        <v>118</v>
      </c>
      <c r="C95" s="34" t="s">
        <v>96</v>
      </c>
      <c r="D95" s="36"/>
      <c r="E95" s="28"/>
      <c r="F95" s="23"/>
      <c r="G95" s="24"/>
      <c r="H95" s="39"/>
      <c r="I95" s="39"/>
      <c r="J95" s="30">
        <v>3</v>
      </c>
      <c r="K95" s="16">
        <f t="shared" si="4"/>
        <v>24</v>
      </c>
      <c r="L95" s="17">
        <v>4</v>
      </c>
      <c r="M95" s="16">
        <f t="shared" si="5"/>
        <v>48</v>
      </c>
      <c r="N95" s="16">
        <f t="shared" si="6"/>
        <v>16</v>
      </c>
      <c r="O95" s="16">
        <f t="shared" si="7"/>
        <v>88</v>
      </c>
      <c r="P95" s="25"/>
      <c r="Q95" s="33"/>
      <c r="R95" s="23"/>
      <c r="S95" s="28"/>
      <c r="T95" s="34"/>
      <c r="U95" s="34"/>
    </row>
    <row r="96" spans="1:21" ht="18" customHeight="1">
      <c r="A96" s="11">
        <v>94</v>
      </c>
      <c r="B96" s="41" t="s">
        <v>119</v>
      </c>
      <c r="C96" s="34" t="s">
        <v>96</v>
      </c>
      <c r="D96" s="36" t="s">
        <v>437</v>
      </c>
      <c r="E96" s="28"/>
      <c r="F96" s="23"/>
      <c r="G96" s="24"/>
      <c r="H96" s="39"/>
      <c r="I96" s="39"/>
      <c r="J96" s="30">
        <v>4.5</v>
      </c>
      <c r="K96" s="16">
        <f t="shared" si="4"/>
        <v>36</v>
      </c>
      <c r="L96" s="17">
        <v>7</v>
      </c>
      <c r="M96" s="16">
        <f t="shared" si="5"/>
        <v>84</v>
      </c>
      <c r="N96" s="16">
        <f t="shared" si="6"/>
        <v>28</v>
      </c>
      <c r="O96" s="16">
        <f t="shared" si="7"/>
        <v>148</v>
      </c>
      <c r="P96" s="25"/>
      <c r="Q96" s="33"/>
      <c r="R96" s="23"/>
      <c r="S96" s="28"/>
      <c r="T96" s="34"/>
      <c r="U96" s="34"/>
    </row>
    <row r="97" spans="1:21" ht="18" customHeight="1">
      <c r="A97" s="11">
        <v>95</v>
      </c>
      <c r="B97" s="41" t="s">
        <v>120</v>
      </c>
      <c r="C97" s="34" t="s">
        <v>96</v>
      </c>
      <c r="D97" s="36"/>
      <c r="E97" s="28"/>
      <c r="F97" s="23"/>
      <c r="G97" s="24">
        <v>40</v>
      </c>
      <c r="H97" s="39"/>
      <c r="I97" s="39"/>
      <c r="J97" s="30">
        <v>3.5</v>
      </c>
      <c r="K97" s="16">
        <f t="shared" si="4"/>
        <v>28</v>
      </c>
      <c r="L97" s="17">
        <v>5</v>
      </c>
      <c r="M97" s="16">
        <f t="shared" si="5"/>
        <v>60</v>
      </c>
      <c r="N97" s="16">
        <f t="shared" si="6"/>
        <v>20</v>
      </c>
      <c r="O97" s="16">
        <f t="shared" si="7"/>
        <v>108</v>
      </c>
      <c r="P97" s="25"/>
      <c r="Q97" s="33"/>
      <c r="R97" s="23"/>
      <c r="S97" s="28"/>
      <c r="T97" s="34"/>
      <c r="U97" s="34"/>
    </row>
    <row r="98" spans="1:21" ht="18" customHeight="1">
      <c r="A98" s="11">
        <v>96</v>
      </c>
      <c r="B98" s="41" t="s">
        <v>121</v>
      </c>
      <c r="C98" s="34" t="s">
        <v>96</v>
      </c>
      <c r="D98" s="36"/>
      <c r="E98" s="28"/>
      <c r="F98" s="23"/>
      <c r="G98" s="24">
        <v>8</v>
      </c>
      <c r="H98" s="39"/>
      <c r="I98" s="39"/>
      <c r="J98" s="30">
        <v>3</v>
      </c>
      <c r="K98" s="16">
        <f t="shared" si="4"/>
        <v>24</v>
      </c>
      <c r="L98" s="17">
        <v>4</v>
      </c>
      <c r="M98" s="16">
        <f t="shared" si="5"/>
        <v>48</v>
      </c>
      <c r="N98" s="16">
        <f t="shared" si="6"/>
        <v>16</v>
      </c>
      <c r="O98" s="16">
        <f t="shared" si="7"/>
        <v>88</v>
      </c>
      <c r="P98" s="25"/>
      <c r="Q98" s="33"/>
      <c r="R98" s="23"/>
      <c r="S98" s="28"/>
      <c r="T98" s="34"/>
      <c r="U98" s="34"/>
    </row>
    <row r="99" spans="1:21" ht="18" customHeight="1">
      <c r="A99" s="11">
        <v>97</v>
      </c>
      <c r="B99" s="41" t="s">
        <v>122</v>
      </c>
      <c r="C99" s="34" t="s">
        <v>96</v>
      </c>
      <c r="D99" s="36"/>
      <c r="E99" s="28"/>
      <c r="F99" s="23"/>
      <c r="G99" s="24"/>
      <c r="H99" s="39"/>
      <c r="I99" s="39"/>
      <c r="J99" s="30">
        <v>1.5</v>
      </c>
      <c r="K99" s="16">
        <f t="shared" si="4"/>
        <v>12</v>
      </c>
      <c r="L99" s="17">
        <v>3</v>
      </c>
      <c r="M99" s="16">
        <f t="shared" si="5"/>
        <v>36</v>
      </c>
      <c r="N99" s="16">
        <f t="shared" si="6"/>
        <v>12</v>
      </c>
      <c r="O99" s="16">
        <f t="shared" si="7"/>
        <v>60</v>
      </c>
      <c r="P99" s="25"/>
      <c r="Q99" s="33"/>
      <c r="R99" s="23"/>
      <c r="S99" s="28"/>
      <c r="T99" s="34"/>
      <c r="U99" s="34"/>
    </row>
    <row r="100" spans="1:21" ht="18" customHeight="1">
      <c r="A100" s="11">
        <v>98</v>
      </c>
      <c r="B100" s="41" t="s">
        <v>123</v>
      </c>
      <c r="C100" s="34" t="s">
        <v>96</v>
      </c>
      <c r="D100" s="36"/>
      <c r="E100" s="28"/>
      <c r="F100" s="23"/>
      <c r="G100" s="24">
        <v>40</v>
      </c>
      <c r="H100" s="39"/>
      <c r="I100" s="39"/>
      <c r="J100" s="30">
        <v>5</v>
      </c>
      <c r="K100" s="16">
        <f t="shared" si="4"/>
        <v>40</v>
      </c>
      <c r="L100" s="17">
        <v>8</v>
      </c>
      <c r="M100" s="16">
        <f t="shared" si="5"/>
        <v>96</v>
      </c>
      <c r="N100" s="16">
        <f t="shared" si="6"/>
        <v>32</v>
      </c>
      <c r="O100" s="16">
        <f t="shared" si="7"/>
        <v>168</v>
      </c>
      <c r="P100" s="25"/>
      <c r="Q100" s="33"/>
      <c r="R100" s="23"/>
      <c r="S100" s="28"/>
      <c r="T100" s="34"/>
      <c r="U100" s="34"/>
    </row>
    <row r="101" spans="1:21" ht="18" customHeight="1">
      <c r="A101" s="11">
        <v>99</v>
      </c>
      <c r="B101" s="41" t="s">
        <v>124</v>
      </c>
      <c r="C101" s="34" t="s">
        <v>96</v>
      </c>
      <c r="D101" s="36"/>
      <c r="E101" s="28"/>
      <c r="F101" s="23"/>
      <c r="G101" s="24">
        <v>16</v>
      </c>
      <c r="H101" s="39"/>
      <c r="I101" s="39"/>
      <c r="J101" s="30">
        <v>3.5</v>
      </c>
      <c r="K101" s="16">
        <f t="shared" si="4"/>
        <v>28</v>
      </c>
      <c r="L101" s="17">
        <v>3</v>
      </c>
      <c r="M101" s="16">
        <f t="shared" si="5"/>
        <v>36</v>
      </c>
      <c r="N101" s="16">
        <f t="shared" si="6"/>
        <v>12</v>
      </c>
      <c r="O101" s="16">
        <f t="shared" si="7"/>
        <v>76</v>
      </c>
      <c r="P101" s="25"/>
      <c r="Q101" s="33"/>
      <c r="R101" s="23"/>
      <c r="S101" s="28"/>
      <c r="T101" s="34"/>
      <c r="U101" s="34"/>
    </row>
    <row r="102" spans="1:21" ht="18" customHeight="1">
      <c r="A102" s="11">
        <v>100</v>
      </c>
      <c r="B102" s="41" t="s">
        <v>125</v>
      </c>
      <c r="C102" s="34" t="s">
        <v>96</v>
      </c>
      <c r="D102" s="36"/>
      <c r="E102" s="28"/>
      <c r="F102" s="23"/>
      <c r="G102" s="24">
        <v>32</v>
      </c>
      <c r="H102" s="39"/>
      <c r="I102" s="39"/>
      <c r="J102" s="30">
        <v>1.5</v>
      </c>
      <c r="K102" s="16">
        <f t="shared" si="4"/>
        <v>12</v>
      </c>
      <c r="L102" s="17">
        <v>3</v>
      </c>
      <c r="M102" s="16">
        <f t="shared" si="5"/>
        <v>36</v>
      </c>
      <c r="N102" s="16">
        <f t="shared" si="6"/>
        <v>12</v>
      </c>
      <c r="O102" s="16">
        <f t="shared" si="7"/>
        <v>60</v>
      </c>
      <c r="P102" s="25"/>
      <c r="Q102" s="33"/>
      <c r="R102" s="23"/>
      <c r="S102" s="28"/>
      <c r="T102" s="34"/>
      <c r="U102" s="34"/>
    </row>
    <row r="103" spans="1:21" ht="18" customHeight="1">
      <c r="A103" s="11">
        <v>101</v>
      </c>
      <c r="B103" s="41" t="s">
        <v>126</v>
      </c>
      <c r="C103" s="34" t="s">
        <v>96</v>
      </c>
      <c r="D103" s="36"/>
      <c r="E103" s="28"/>
      <c r="F103" s="23"/>
      <c r="G103" s="24">
        <v>9</v>
      </c>
      <c r="H103" s="39"/>
      <c r="I103" s="39"/>
      <c r="J103" s="30">
        <v>1.5</v>
      </c>
      <c r="K103" s="16">
        <f t="shared" si="4"/>
        <v>12</v>
      </c>
      <c r="L103" s="17">
        <v>3</v>
      </c>
      <c r="M103" s="16">
        <f t="shared" si="5"/>
        <v>36</v>
      </c>
      <c r="N103" s="16">
        <f t="shared" si="6"/>
        <v>12</v>
      </c>
      <c r="O103" s="16">
        <f t="shared" si="7"/>
        <v>60</v>
      </c>
      <c r="P103" s="25"/>
      <c r="Q103" s="33"/>
      <c r="R103" s="23"/>
      <c r="S103" s="28"/>
      <c r="T103" s="34"/>
      <c r="U103" s="34"/>
    </row>
    <row r="104" spans="1:21" ht="18" customHeight="1">
      <c r="A104" s="11">
        <v>102</v>
      </c>
      <c r="B104" s="41" t="s">
        <v>127</v>
      </c>
      <c r="C104" s="34" t="s">
        <v>96</v>
      </c>
      <c r="D104" s="36"/>
      <c r="E104" s="28"/>
      <c r="F104" s="23">
        <v>72</v>
      </c>
      <c r="G104" s="24"/>
      <c r="H104" s="39"/>
      <c r="I104" s="39"/>
      <c r="J104" s="30">
        <v>4</v>
      </c>
      <c r="K104" s="16">
        <f t="shared" si="4"/>
        <v>32</v>
      </c>
      <c r="L104" s="17">
        <v>1</v>
      </c>
      <c r="M104" s="16">
        <f t="shared" si="5"/>
        <v>12</v>
      </c>
      <c r="N104" s="16">
        <f t="shared" si="6"/>
        <v>4</v>
      </c>
      <c r="O104" s="16">
        <f t="shared" si="7"/>
        <v>48</v>
      </c>
      <c r="P104" s="25"/>
      <c r="Q104" s="33"/>
      <c r="R104" s="23"/>
      <c r="S104" s="28"/>
      <c r="T104" s="34"/>
      <c r="U104" s="34"/>
    </row>
    <row r="105" spans="1:21" ht="18" customHeight="1">
      <c r="A105" s="11">
        <v>103</v>
      </c>
      <c r="B105" s="41" t="s">
        <v>128</v>
      </c>
      <c r="C105" s="34" t="s">
        <v>96</v>
      </c>
      <c r="D105" s="36"/>
      <c r="E105" s="28"/>
      <c r="F105" s="23"/>
      <c r="G105" s="24"/>
      <c r="H105" s="39"/>
      <c r="I105" s="39"/>
      <c r="J105" s="30">
        <v>3</v>
      </c>
      <c r="K105" s="16">
        <f t="shared" si="4"/>
        <v>24</v>
      </c>
      <c r="L105" s="17">
        <v>4</v>
      </c>
      <c r="M105" s="16">
        <f t="shared" si="5"/>
        <v>48</v>
      </c>
      <c r="N105" s="16">
        <f t="shared" si="6"/>
        <v>16</v>
      </c>
      <c r="O105" s="16">
        <f t="shared" si="7"/>
        <v>88</v>
      </c>
      <c r="P105" s="25"/>
      <c r="Q105" s="33"/>
      <c r="R105" s="23"/>
      <c r="S105" s="28"/>
      <c r="T105" s="34"/>
      <c r="U105" s="34"/>
    </row>
    <row r="106" spans="1:21" ht="18" customHeight="1">
      <c r="A106" s="11">
        <v>104</v>
      </c>
      <c r="B106" s="19" t="s">
        <v>129</v>
      </c>
      <c r="C106" s="34" t="s">
        <v>96</v>
      </c>
      <c r="D106" s="36"/>
      <c r="E106" s="28"/>
      <c r="F106" s="23"/>
      <c r="G106" s="24">
        <v>24</v>
      </c>
      <c r="H106" s="39"/>
      <c r="I106" s="39"/>
      <c r="J106" s="30">
        <v>5</v>
      </c>
      <c r="K106" s="16">
        <f t="shared" si="4"/>
        <v>40</v>
      </c>
      <c r="L106" s="17">
        <v>7</v>
      </c>
      <c r="M106" s="16">
        <f t="shared" si="5"/>
        <v>84</v>
      </c>
      <c r="N106" s="16">
        <f t="shared" si="6"/>
        <v>28</v>
      </c>
      <c r="O106" s="16">
        <f t="shared" si="7"/>
        <v>152</v>
      </c>
      <c r="P106" s="25"/>
      <c r="Q106" s="33"/>
      <c r="R106" s="23"/>
      <c r="S106" s="28"/>
      <c r="T106" s="34"/>
      <c r="U106" s="34"/>
    </row>
    <row r="107" spans="1:21" ht="18" customHeight="1">
      <c r="A107" s="11">
        <v>105</v>
      </c>
      <c r="B107" s="19" t="s">
        <v>130</v>
      </c>
      <c r="C107" s="34" t="s">
        <v>96</v>
      </c>
      <c r="D107" s="36"/>
      <c r="E107" s="28"/>
      <c r="F107" s="23"/>
      <c r="G107" s="24">
        <v>40</v>
      </c>
      <c r="H107" s="39"/>
      <c r="I107" s="39"/>
      <c r="J107" s="30">
        <v>4</v>
      </c>
      <c r="K107" s="16">
        <f t="shared" si="4"/>
        <v>32</v>
      </c>
      <c r="L107" s="17">
        <v>4</v>
      </c>
      <c r="M107" s="16">
        <f t="shared" si="5"/>
        <v>48</v>
      </c>
      <c r="N107" s="16">
        <f t="shared" si="6"/>
        <v>16</v>
      </c>
      <c r="O107" s="16">
        <f t="shared" si="7"/>
        <v>96</v>
      </c>
      <c r="P107" s="25"/>
      <c r="Q107" s="33"/>
      <c r="R107" s="23"/>
      <c r="S107" s="28"/>
      <c r="T107" s="34"/>
      <c r="U107" s="34"/>
    </row>
    <row r="108" spans="1:21" ht="18" customHeight="1">
      <c r="A108" s="11">
        <v>106</v>
      </c>
      <c r="B108" s="19" t="s">
        <v>131</v>
      </c>
      <c r="C108" s="34" t="s">
        <v>96</v>
      </c>
      <c r="D108" s="36"/>
      <c r="E108" s="28"/>
      <c r="F108" s="23"/>
      <c r="G108" s="24">
        <v>32</v>
      </c>
      <c r="H108" s="39"/>
      <c r="I108" s="39"/>
      <c r="J108" s="30">
        <v>8.5</v>
      </c>
      <c r="K108" s="16">
        <f t="shared" si="4"/>
        <v>68</v>
      </c>
      <c r="L108" s="17">
        <v>5</v>
      </c>
      <c r="M108" s="16">
        <f t="shared" si="5"/>
        <v>60</v>
      </c>
      <c r="N108" s="16">
        <f t="shared" si="6"/>
        <v>20</v>
      </c>
      <c r="O108" s="16">
        <f t="shared" si="7"/>
        <v>148</v>
      </c>
      <c r="P108" s="25"/>
      <c r="Q108" s="33"/>
      <c r="R108" s="23"/>
      <c r="S108" s="28"/>
      <c r="T108" s="34"/>
      <c r="U108" s="34"/>
    </row>
    <row r="109" spans="1:21" ht="18" customHeight="1">
      <c r="A109" s="11">
        <v>107</v>
      </c>
      <c r="B109" s="41" t="s">
        <v>132</v>
      </c>
      <c r="C109" s="34" t="s">
        <v>96</v>
      </c>
      <c r="D109" s="36"/>
      <c r="E109" s="28"/>
      <c r="F109" s="23"/>
      <c r="G109" s="24">
        <v>32</v>
      </c>
      <c r="H109" s="39"/>
      <c r="I109" s="39"/>
      <c r="J109" s="30">
        <v>4</v>
      </c>
      <c r="K109" s="16">
        <f t="shared" si="4"/>
        <v>32</v>
      </c>
      <c r="L109" s="17">
        <v>4</v>
      </c>
      <c r="M109" s="16">
        <f t="shared" si="5"/>
        <v>48</v>
      </c>
      <c r="N109" s="16">
        <f t="shared" si="6"/>
        <v>16</v>
      </c>
      <c r="O109" s="16">
        <f t="shared" si="7"/>
        <v>96</v>
      </c>
      <c r="P109" s="25"/>
      <c r="Q109" s="33"/>
      <c r="R109" s="23"/>
      <c r="S109" s="28"/>
      <c r="T109" s="34"/>
      <c r="U109" s="34"/>
    </row>
    <row r="110" spans="1:21" ht="18" customHeight="1">
      <c r="A110" s="11">
        <v>108</v>
      </c>
      <c r="B110" s="19" t="s">
        <v>133</v>
      </c>
      <c r="C110" s="34" t="s">
        <v>96</v>
      </c>
      <c r="D110" s="21" t="s">
        <v>428</v>
      </c>
      <c r="E110" s="28"/>
      <c r="F110" s="23"/>
      <c r="G110" s="24"/>
      <c r="H110" s="39"/>
      <c r="I110" s="39"/>
      <c r="J110" s="30">
        <v>2</v>
      </c>
      <c r="K110" s="16">
        <f t="shared" si="4"/>
        <v>16</v>
      </c>
      <c r="L110" s="17">
        <v>2</v>
      </c>
      <c r="M110" s="16">
        <f t="shared" si="5"/>
        <v>24</v>
      </c>
      <c r="N110" s="16">
        <f t="shared" si="6"/>
        <v>8</v>
      </c>
      <c r="O110" s="16">
        <f t="shared" si="7"/>
        <v>48</v>
      </c>
      <c r="P110" s="25"/>
      <c r="Q110" s="33"/>
      <c r="R110" s="23"/>
      <c r="S110" s="28"/>
      <c r="T110" s="34"/>
      <c r="U110" s="34"/>
    </row>
    <row r="111" spans="1:21" ht="18" customHeight="1">
      <c r="A111" s="11">
        <v>109</v>
      </c>
      <c r="B111" s="19" t="s">
        <v>134</v>
      </c>
      <c r="C111" s="34" t="s">
        <v>96</v>
      </c>
      <c r="D111" s="21"/>
      <c r="E111" s="28"/>
      <c r="F111" s="23"/>
      <c r="G111" s="24">
        <v>32</v>
      </c>
      <c r="H111" s="39"/>
      <c r="I111" s="39"/>
      <c r="J111" s="30">
        <v>4.5</v>
      </c>
      <c r="K111" s="16">
        <f t="shared" si="4"/>
        <v>36</v>
      </c>
      <c r="L111" s="17">
        <v>7</v>
      </c>
      <c r="M111" s="16">
        <f t="shared" si="5"/>
        <v>84</v>
      </c>
      <c r="N111" s="16">
        <f t="shared" si="6"/>
        <v>28</v>
      </c>
      <c r="O111" s="16">
        <f t="shared" si="7"/>
        <v>148</v>
      </c>
      <c r="P111" s="25"/>
      <c r="Q111" s="33"/>
      <c r="R111" s="23"/>
      <c r="S111" s="28"/>
      <c r="T111" s="34"/>
      <c r="U111" s="34"/>
    </row>
    <row r="112" spans="1:21" s="1" customFormat="1" ht="18" customHeight="1">
      <c r="A112" s="11">
        <v>110</v>
      </c>
      <c r="B112" s="42" t="s">
        <v>135</v>
      </c>
      <c r="C112" s="34" t="s">
        <v>96</v>
      </c>
      <c r="D112" s="21"/>
      <c r="E112" s="28"/>
      <c r="F112" s="23"/>
      <c r="G112" s="24"/>
      <c r="H112" s="39"/>
      <c r="I112" s="39"/>
      <c r="J112" s="30">
        <v>6</v>
      </c>
      <c r="K112" s="16">
        <f t="shared" si="4"/>
        <v>48</v>
      </c>
      <c r="L112" s="17">
        <v>10</v>
      </c>
      <c r="M112" s="16">
        <f t="shared" si="5"/>
        <v>120</v>
      </c>
      <c r="N112" s="16">
        <f t="shared" si="6"/>
        <v>40</v>
      </c>
      <c r="O112" s="16">
        <f t="shared" si="7"/>
        <v>208</v>
      </c>
      <c r="P112" s="25"/>
      <c r="Q112" s="33"/>
      <c r="R112" s="23"/>
      <c r="S112" s="28"/>
      <c r="T112" s="34"/>
      <c r="U112" s="34"/>
    </row>
    <row r="113" spans="1:21" ht="18" customHeight="1">
      <c r="A113" s="11">
        <v>111</v>
      </c>
      <c r="B113" s="19" t="s">
        <v>136</v>
      </c>
      <c r="C113" s="34" t="s">
        <v>96</v>
      </c>
      <c r="D113" s="21"/>
      <c r="E113" s="28"/>
      <c r="F113" s="23"/>
      <c r="G113" s="24">
        <v>32</v>
      </c>
      <c r="H113" s="39"/>
      <c r="I113" s="39"/>
      <c r="J113" s="30">
        <v>10</v>
      </c>
      <c r="K113" s="16">
        <f t="shared" si="4"/>
        <v>80</v>
      </c>
      <c r="L113" s="17"/>
      <c r="M113" s="16"/>
      <c r="N113" s="16"/>
      <c r="O113" s="16">
        <f t="shared" si="7"/>
        <v>80</v>
      </c>
      <c r="P113" s="25"/>
      <c r="Q113" s="33"/>
      <c r="R113" s="23"/>
      <c r="S113" s="28"/>
      <c r="T113" s="34"/>
      <c r="U113" s="34"/>
    </row>
    <row r="114" spans="1:21" s="1" customFormat="1" ht="18" customHeight="1">
      <c r="A114" s="11">
        <v>112</v>
      </c>
      <c r="B114" s="42" t="s">
        <v>137</v>
      </c>
      <c r="C114" s="34" t="s">
        <v>96</v>
      </c>
      <c r="D114" s="21"/>
      <c r="E114" s="28"/>
      <c r="F114" s="23"/>
      <c r="G114" s="24">
        <v>32</v>
      </c>
      <c r="H114" s="39"/>
      <c r="I114" s="39"/>
      <c r="J114" s="30">
        <v>6.5</v>
      </c>
      <c r="K114" s="16">
        <f t="shared" si="4"/>
        <v>52</v>
      </c>
      <c r="L114" s="17">
        <v>5</v>
      </c>
      <c r="M114" s="16">
        <f t="shared" si="5"/>
        <v>60</v>
      </c>
      <c r="N114" s="16">
        <f t="shared" si="6"/>
        <v>20</v>
      </c>
      <c r="O114" s="16">
        <f t="shared" si="7"/>
        <v>132</v>
      </c>
      <c r="P114" s="25"/>
      <c r="Q114" s="33"/>
      <c r="R114" s="23"/>
      <c r="S114" s="28"/>
      <c r="T114" s="34"/>
      <c r="U114" s="34"/>
    </row>
    <row r="115" spans="1:21" s="1" customFormat="1" ht="18" customHeight="1">
      <c r="A115" s="11">
        <v>113</v>
      </c>
      <c r="B115" s="42" t="s">
        <v>138</v>
      </c>
      <c r="C115" s="34" t="s">
        <v>96</v>
      </c>
      <c r="D115" s="43"/>
      <c r="E115" s="28"/>
      <c r="F115" s="23"/>
      <c r="G115" s="24">
        <v>32</v>
      </c>
      <c r="H115" s="39"/>
      <c r="I115" s="39"/>
      <c r="J115" s="30">
        <v>2.5</v>
      </c>
      <c r="K115" s="16">
        <f t="shared" si="4"/>
        <v>20</v>
      </c>
      <c r="L115" s="17">
        <v>3</v>
      </c>
      <c r="M115" s="16">
        <f t="shared" si="5"/>
        <v>36</v>
      </c>
      <c r="N115" s="16">
        <f t="shared" si="6"/>
        <v>12</v>
      </c>
      <c r="O115" s="16">
        <f t="shared" si="7"/>
        <v>68</v>
      </c>
      <c r="P115" s="25"/>
      <c r="Q115" s="33"/>
      <c r="R115" s="23"/>
      <c r="S115" s="28"/>
      <c r="T115" s="34"/>
      <c r="U115" s="47"/>
    </row>
    <row r="116" spans="1:21" s="1" customFormat="1" ht="18" customHeight="1">
      <c r="A116" s="11">
        <v>114</v>
      </c>
      <c r="B116" s="42" t="s">
        <v>139</v>
      </c>
      <c r="C116" s="34" t="s">
        <v>96</v>
      </c>
      <c r="D116" s="43"/>
      <c r="E116" s="28"/>
      <c r="F116" s="23"/>
      <c r="G116" s="24">
        <v>32</v>
      </c>
      <c r="H116" s="39"/>
      <c r="I116" s="39"/>
      <c r="J116" s="30">
        <v>4</v>
      </c>
      <c r="K116" s="16">
        <f t="shared" si="4"/>
        <v>32</v>
      </c>
      <c r="L116" s="17">
        <v>4</v>
      </c>
      <c r="M116" s="16">
        <f t="shared" si="5"/>
        <v>48</v>
      </c>
      <c r="N116" s="16">
        <f t="shared" si="6"/>
        <v>16</v>
      </c>
      <c r="O116" s="16">
        <f t="shared" si="7"/>
        <v>96</v>
      </c>
      <c r="P116" s="25"/>
      <c r="Q116" s="33"/>
      <c r="R116" s="23"/>
      <c r="S116" s="28"/>
      <c r="T116" s="34"/>
      <c r="U116" s="34"/>
    </row>
    <row r="117" spans="1:21" s="1" customFormat="1" ht="18" customHeight="1">
      <c r="A117" s="11">
        <v>115</v>
      </c>
      <c r="B117" s="42" t="s">
        <v>140</v>
      </c>
      <c r="C117" s="34" t="s">
        <v>96</v>
      </c>
      <c r="D117" s="43"/>
      <c r="E117" s="28"/>
      <c r="F117" s="23"/>
      <c r="G117" s="24">
        <v>16</v>
      </c>
      <c r="H117" s="39"/>
      <c r="I117" s="39"/>
      <c r="J117" s="30">
        <v>3</v>
      </c>
      <c r="K117" s="16">
        <f t="shared" si="4"/>
        <v>24</v>
      </c>
      <c r="L117" s="17">
        <v>4</v>
      </c>
      <c r="M117" s="16">
        <f t="shared" si="5"/>
        <v>48</v>
      </c>
      <c r="N117" s="16">
        <f t="shared" si="6"/>
        <v>16</v>
      </c>
      <c r="O117" s="16">
        <f t="shared" si="7"/>
        <v>88</v>
      </c>
      <c r="P117" s="25"/>
      <c r="Q117" s="33"/>
      <c r="R117" s="23"/>
      <c r="S117" s="28"/>
      <c r="T117" s="34"/>
      <c r="U117" s="34"/>
    </row>
    <row r="118" spans="1:21" s="1" customFormat="1" ht="18" customHeight="1">
      <c r="A118" s="11">
        <v>116</v>
      </c>
      <c r="B118" s="42" t="s">
        <v>141</v>
      </c>
      <c r="C118" s="34" t="s">
        <v>96</v>
      </c>
      <c r="D118" s="43"/>
      <c r="E118" s="28"/>
      <c r="F118" s="23"/>
      <c r="G118" s="24">
        <v>72</v>
      </c>
      <c r="H118" s="39"/>
      <c r="I118" s="39"/>
      <c r="J118" s="30">
        <v>1</v>
      </c>
      <c r="K118" s="16">
        <f t="shared" si="4"/>
        <v>8</v>
      </c>
      <c r="L118" s="17">
        <v>2</v>
      </c>
      <c r="M118" s="16">
        <f t="shared" si="5"/>
        <v>24</v>
      </c>
      <c r="N118" s="16">
        <f t="shared" si="6"/>
        <v>8</v>
      </c>
      <c r="O118" s="16">
        <f t="shared" si="7"/>
        <v>40</v>
      </c>
      <c r="P118" s="25"/>
      <c r="Q118" s="33"/>
      <c r="R118" s="23"/>
      <c r="S118" s="28"/>
      <c r="T118" s="34"/>
      <c r="U118" s="34"/>
    </row>
    <row r="119" spans="1:21" s="1" customFormat="1" ht="18" customHeight="1">
      <c r="A119" s="11">
        <v>117</v>
      </c>
      <c r="B119" s="42" t="s">
        <v>142</v>
      </c>
      <c r="C119" s="34" t="s">
        <v>96</v>
      </c>
      <c r="D119" s="43"/>
      <c r="E119" s="28"/>
      <c r="F119" s="23">
        <v>75</v>
      </c>
      <c r="G119" s="24">
        <v>29</v>
      </c>
      <c r="H119" s="39"/>
      <c r="I119" s="39"/>
      <c r="J119" s="30"/>
      <c r="K119" s="16"/>
      <c r="L119" s="17"/>
      <c r="M119" s="16"/>
      <c r="N119" s="16"/>
      <c r="O119" s="16"/>
      <c r="P119" s="25"/>
      <c r="Q119" s="33"/>
      <c r="R119" s="23"/>
      <c r="S119" s="28"/>
      <c r="T119" s="34"/>
      <c r="U119" s="34"/>
    </row>
    <row r="120" spans="1:21" s="1" customFormat="1" ht="18" customHeight="1">
      <c r="A120" s="11">
        <v>118</v>
      </c>
      <c r="B120" s="42" t="s">
        <v>143</v>
      </c>
      <c r="C120" s="34" t="s">
        <v>96</v>
      </c>
      <c r="D120" s="43"/>
      <c r="E120" s="28"/>
      <c r="F120" s="23"/>
      <c r="G120" s="24">
        <v>40</v>
      </c>
      <c r="H120" s="39"/>
      <c r="I120" s="39"/>
      <c r="J120" s="30">
        <v>3</v>
      </c>
      <c r="K120" s="16">
        <f t="shared" si="4"/>
        <v>24</v>
      </c>
      <c r="L120" s="17">
        <v>3</v>
      </c>
      <c r="M120" s="16">
        <f t="shared" si="5"/>
        <v>36</v>
      </c>
      <c r="N120" s="16">
        <f t="shared" si="6"/>
        <v>12</v>
      </c>
      <c r="O120" s="16">
        <f t="shared" si="7"/>
        <v>72</v>
      </c>
      <c r="P120" s="25"/>
      <c r="Q120" s="33"/>
      <c r="R120" s="23"/>
      <c r="S120" s="28"/>
      <c r="T120" s="34"/>
      <c r="U120" s="34"/>
    </row>
    <row r="121" spans="1:21" s="1" customFormat="1" ht="18" customHeight="1">
      <c r="A121" s="11">
        <v>119</v>
      </c>
      <c r="B121" s="42" t="s">
        <v>144</v>
      </c>
      <c r="C121" s="34" t="s">
        <v>96</v>
      </c>
      <c r="D121" s="43"/>
      <c r="E121" s="28"/>
      <c r="F121" s="23"/>
      <c r="G121" s="24">
        <v>40</v>
      </c>
      <c r="H121" s="39"/>
      <c r="I121" s="39"/>
      <c r="J121" s="30">
        <v>4.5</v>
      </c>
      <c r="K121" s="16">
        <f t="shared" si="4"/>
        <v>36</v>
      </c>
      <c r="L121" s="17">
        <v>7</v>
      </c>
      <c r="M121" s="16">
        <f t="shared" si="5"/>
        <v>84</v>
      </c>
      <c r="N121" s="16">
        <f t="shared" si="6"/>
        <v>28</v>
      </c>
      <c r="O121" s="16">
        <f t="shared" si="7"/>
        <v>148</v>
      </c>
      <c r="P121" s="25"/>
      <c r="Q121" s="33"/>
      <c r="R121" s="23"/>
      <c r="S121" s="28"/>
      <c r="T121" s="34"/>
      <c r="U121" s="34"/>
    </row>
    <row r="122" spans="1:21" s="1" customFormat="1" ht="18" customHeight="1">
      <c r="A122" s="11">
        <v>120</v>
      </c>
      <c r="B122" s="42" t="s">
        <v>145</v>
      </c>
      <c r="C122" s="34" t="s">
        <v>96</v>
      </c>
      <c r="D122" s="43"/>
      <c r="E122" s="28"/>
      <c r="F122" s="23"/>
      <c r="G122" s="24"/>
      <c r="H122" s="39"/>
      <c r="I122" s="39"/>
      <c r="J122" s="30">
        <v>5.5</v>
      </c>
      <c r="K122" s="16">
        <f t="shared" si="4"/>
        <v>44</v>
      </c>
      <c r="L122" s="17">
        <v>7</v>
      </c>
      <c r="M122" s="16">
        <f t="shared" si="5"/>
        <v>84</v>
      </c>
      <c r="N122" s="16">
        <f t="shared" si="6"/>
        <v>28</v>
      </c>
      <c r="O122" s="16">
        <f t="shared" si="7"/>
        <v>156</v>
      </c>
      <c r="P122" s="25"/>
      <c r="Q122" s="33"/>
      <c r="R122" s="23"/>
      <c r="S122" s="28"/>
      <c r="T122" s="34"/>
      <c r="U122" s="34"/>
    </row>
    <row r="123" spans="1:21" s="1" customFormat="1" ht="18" customHeight="1">
      <c r="A123" s="11">
        <v>121</v>
      </c>
      <c r="B123" s="42" t="s">
        <v>146</v>
      </c>
      <c r="C123" s="34" t="s">
        <v>96</v>
      </c>
      <c r="D123" s="43"/>
      <c r="E123" s="28"/>
      <c r="F123" s="23"/>
      <c r="G123" s="24">
        <v>16</v>
      </c>
      <c r="H123" s="39"/>
      <c r="I123" s="39"/>
      <c r="J123" s="30">
        <v>3</v>
      </c>
      <c r="K123" s="16">
        <f t="shared" si="4"/>
        <v>24</v>
      </c>
      <c r="L123" s="17">
        <v>4</v>
      </c>
      <c r="M123" s="16">
        <f t="shared" si="5"/>
        <v>48</v>
      </c>
      <c r="N123" s="16">
        <f t="shared" si="6"/>
        <v>16</v>
      </c>
      <c r="O123" s="16">
        <f t="shared" si="7"/>
        <v>88</v>
      </c>
      <c r="P123" s="25"/>
      <c r="Q123" s="33"/>
      <c r="R123" s="23"/>
      <c r="S123" s="28"/>
      <c r="T123" s="34"/>
      <c r="U123" s="34"/>
    </row>
    <row r="124" spans="1:21" s="1" customFormat="1" ht="18" customHeight="1">
      <c r="A124" s="11">
        <v>122</v>
      </c>
      <c r="B124" s="42" t="s">
        <v>147</v>
      </c>
      <c r="C124" s="34" t="s">
        <v>96</v>
      </c>
      <c r="D124" s="43"/>
      <c r="E124" s="28"/>
      <c r="F124" s="23"/>
      <c r="G124" s="24">
        <v>32</v>
      </c>
      <c r="H124" s="39"/>
      <c r="I124" s="39"/>
      <c r="J124" s="30">
        <v>3</v>
      </c>
      <c r="K124" s="16">
        <f t="shared" si="4"/>
        <v>24</v>
      </c>
      <c r="L124" s="17">
        <v>4</v>
      </c>
      <c r="M124" s="16">
        <f t="shared" si="5"/>
        <v>48</v>
      </c>
      <c r="N124" s="16">
        <f t="shared" si="6"/>
        <v>16</v>
      </c>
      <c r="O124" s="16">
        <f t="shared" si="7"/>
        <v>88</v>
      </c>
      <c r="P124" s="25"/>
      <c r="Q124" s="33"/>
      <c r="R124" s="23"/>
      <c r="S124" s="28"/>
      <c r="T124" s="34"/>
      <c r="U124" s="34"/>
    </row>
    <row r="125" spans="1:21" s="1" customFormat="1" ht="18" customHeight="1">
      <c r="A125" s="11">
        <v>123</v>
      </c>
      <c r="B125" s="42" t="s">
        <v>148</v>
      </c>
      <c r="C125" s="34" t="s">
        <v>96</v>
      </c>
      <c r="D125" s="21"/>
      <c r="E125" s="28"/>
      <c r="F125" s="23"/>
      <c r="G125" s="24">
        <v>16</v>
      </c>
      <c r="H125" s="39"/>
      <c r="I125" s="39"/>
      <c r="J125" s="30">
        <v>4</v>
      </c>
      <c r="K125" s="16">
        <f t="shared" si="4"/>
        <v>32</v>
      </c>
      <c r="L125" s="17">
        <v>4</v>
      </c>
      <c r="M125" s="16">
        <f t="shared" si="5"/>
        <v>48</v>
      </c>
      <c r="N125" s="16">
        <f t="shared" si="6"/>
        <v>16</v>
      </c>
      <c r="O125" s="16">
        <f t="shared" si="7"/>
        <v>96</v>
      </c>
      <c r="P125" s="25"/>
      <c r="Q125" s="33"/>
      <c r="R125" s="23"/>
      <c r="S125" s="28"/>
      <c r="T125" s="34"/>
      <c r="U125" s="34"/>
    </row>
    <row r="126" spans="1:21" s="1" customFormat="1" ht="18" customHeight="1">
      <c r="A126" s="11">
        <v>124</v>
      </c>
      <c r="B126" s="42" t="s">
        <v>149</v>
      </c>
      <c r="C126" s="34" t="s">
        <v>96</v>
      </c>
      <c r="D126" s="43"/>
      <c r="E126" s="28"/>
      <c r="F126" s="23"/>
      <c r="G126" s="24">
        <v>48</v>
      </c>
      <c r="H126" s="39"/>
      <c r="I126" s="39"/>
      <c r="J126" s="30">
        <v>3</v>
      </c>
      <c r="K126" s="16">
        <f t="shared" si="4"/>
        <v>24</v>
      </c>
      <c r="L126" s="17">
        <v>4</v>
      </c>
      <c r="M126" s="16">
        <f t="shared" si="5"/>
        <v>48</v>
      </c>
      <c r="N126" s="16">
        <f t="shared" si="6"/>
        <v>16</v>
      </c>
      <c r="O126" s="16">
        <f t="shared" si="7"/>
        <v>88</v>
      </c>
      <c r="P126" s="25"/>
      <c r="Q126" s="33"/>
      <c r="R126" s="23"/>
      <c r="S126" s="28"/>
      <c r="T126" s="34"/>
      <c r="U126" s="34"/>
    </row>
    <row r="127" spans="1:21" s="1" customFormat="1" ht="18" customHeight="1">
      <c r="A127" s="11">
        <v>125</v>
      </c>
      <c r="B127" s="42" t="s">
        <v>150</v>
      </c>
      <c r="C127" s="34" t="s">
        <v>96</v>
      </c>
      <c r="D127" s="43"/>
      <c r="E127" s="28"/>
      <c r="F127" s="23"/>
      <c r="G127" s="24">
        <v>32</v>
      </c>
      <c r="H127" s="39"/>
      <c r="I127" s="39"/>
      <c r="J127" s="30">
        <v>4.5</v>
      </c>
      <c r="K127" s="16">
        <f t="shared" si="4"/>
        <v>36</v>
      </c>
      <c r="L127" s="17">
        <v>8</v>
      </c>
      <c r="M127" s="16">
        <f t="shared" si="5"/>
        <v>96</v>
      </c>
      <c r="N127" s="16">
        <f t="shared" si="6"/>
        <v>32</v>
      </c>
      <c r="O127" s="16">
        <f t="shared" si="7"/>
        <v>164</v>
      </c>
      <c r="P127" s="25"/>
      <c r="Q127" s="33"/>
      <c r="R127" s="23"/>
      <c r="S127" s="28"/>
      <c r="T127" s="34"/>
      <c r="U127" s="34"/>
    </row>
    <row r="128" spans="1:21" s="1" customFormat="1" ht="18" customHeight="1">
      <c r="A128" s="11">
        <v>126</v>
      </c>
      <c r="B128" s="42" t="s">
        <v>151</v>
      </c>
      <c r="C128" s="34" t="s">
        <v>96</v>
      </c>
      <c r="D128" s="43"/>
      <c r="E128" s="28"/>
      <c r="F128" s="23">
        <v>8</v>
      </c>
      <c r="G128" s="24">
        <v>24</v>
      </c>
      <c r="H128" s="39"/>
      <c r="I128" s="39"/>
      <c r="J128" s="30">
        <v>3</v>
      </c>
      <c r="K128" s="16">
        <f t="shared" si="4"/>
        <v>24</v>
      </c>
      <c r="L128" s="17">
        <v>4</v>
      </c>
      <c r="M128" s="16">
        <f t="shared" si="5"/>
        <v>48</v>
      </c>
      <c r="N128" s="16">
        <f t="shared" si="6"/>
        <v>16</v>
      </c>
      <c r="O128" s="16">
        <f t="shared" si="7"/>
        <v>88</v>
      </c>
      <c r="P128" s="25"/>
      <c r="Q128" s="33"/>
      <c r="R128" s="23"/>
      <c r="S128" s="28"/>
      <c r="T128" s="34"/>
      <c r="U128" s="34"/>
    </row>
    <row r="129" spans="1:21" s="1" customFormat="1" ht="18" customHeight="1">
      <c r="A129" s="11">
        <v>127</v>
      </c>
      <c r="B129" s="42" t="s">
        <v>152</v>
      </c>
      <c r="C129" s="34" t="s">
        <v>96</v>
      </c>
      <c r="D129" s="43"/>
      <c r="E129" s="28"/>
      <c r="F129" s="23">
        <v>42.5</v>
      </c>
      <c r="G129" s="24">
        <v>45.5</v>
      </c>
      <c r="H129" s="39"/>
      <c r="I129" s="39"/>
      <c r="J129" s="30"/>
      <c r="K129" s="16"/>
      <c r="L129" s="17"/>
      <c r="M129" s="16"/>
      <c r="N129" s="16"/>
      <c r="O129" s="16"/>
      <c r="P129" s="25"/>
      <c r="Q129" s="33"/>
      <c r="R129" s="23"/>
      <c r="S129" s="28"/>
      <c r="T129" s="34"/>
      <c r="U129" s="34"/>
    </row>
    <row r="130" spans="1:21" s="1" customFormat="1" ht="18" customHeight="1">
      <c r="A130" s="11">
        <v>128</v>
      </c>
      <c r="B130" s="42" t="s">
        <v>153</v>
      </c>
      <c r="C130" s="34" t="s">
        <v>96</v>
      </c>
      <c r="D130" s="43"/>
      <c r="E130" s="28"/>
      <c r="F130" s="23">
        <v>16</v>
      </c>
      <c r="G130" s="24">
        <v>16</v>
      </c>
      <c r="H130" s="39"/>
      <c r="I130" s="39"/>
      <c r="J130" s="30">
        <v>1.5</v>
      </c>
      <c r="K130" s="16">
        <f t="shared" si="4"/>
        <v>12</v>
      </c>
      <c r="L130" s="17">
        <v>3</v>
      </c>
      <c r="M130" s="16">
        <f t="shared" si="5"/>
        <v>36</v>
      </c>
      <c r="N130" s="16">
        <f t="shared" si="6"/>
        <v>12</v>
      </c>
      <c r="O130" s="16">
        <f t="shared" si="7"/>
        <v>60</v>
      </c>
      <c r="P130" s="25"/>
      <c r="Q130" s="33"/>
      <c r="R130" s="23"/>
      <c r="S130" s="28"/>
      <c r="T130" s="34"/>
      <c r="U130" s="34"/>
    </row>
    <row r="131" spans="1:21" ht="18" customHeight="1">
      <c r="A131" s="11">
        <v>129</v>
      </c>
      <c r="B131" s="41" t="s">
        <v>154</v>
      </c>
      <c r="C131" s="34" t="s">
        <v>155</v>
      </c>
      <c r="D131" s="36"/>
      <c r="E131" s="28"/>
      <c r="F131" s="23"/>
      <c r="G131" s="24">
        <v>32</v>
      </c>
      <c r="H131" s="39"/>
      <c r="I131" s="39"/>
      <c r="J131" s="30">
        <v>4</v>
      </c>
      <c r="K131" s="16">
        <f t="shared" si="4"/>
        <v>32</v>
      </c>
      <c r="L131" s="17">
        <v>4</v>
      </c>
      <c r="M131" s="16">
        <f t="shared" si="5"/>
        <v>48</v>
      </c>
      <c r="N131" s="16">
        <f t="shared" si="6"/>
        <v>16</v>
      </c>
      <c r="O131" s="16">
        <f t="shared" si="7"/>
        <v>96</v>
      </c>
      <c r="P131" s="25"/>
      <c r="Q131" s="33"/>
      <c r="R131" s="23"/>
      <c r="S131" s="28"/>
      <c r="T131" s="34"/>
      <c r="U131" s="34"/>
    </row>
    <row r="132" spans="1:21" ht="18" customHeight="1">
      <c r="A132" s="11">
        <v>130</v>
      </c>
      <c r="B132" s="41" t="s">
        <v>156</v>
      </c>
      <c r="C132" s="34" t="s">
        <v>155</v>
      </c>
      <c r="D132" s="36"/>
      <c r="E132" s="28"/>
      <c r="F132" s="23"/>
      <c r="G132" s="24">
        <v>24</v>
      </c>
      <c r="H132" s="39"/>
      <c r="I132" s="39"/>
      <c r="J132" s="30">
        <v>4.5</v>
      </c>
      <c r="K132" s="16">
        <f t="shared" si="4"/>
        <v>36</v>
      </c>
      <c r="L132" s="17">
        <v>3</v>
      </c>
      <c r="M132" s="16">
        <f t="shared" si="5"/>
        <v>36</v>
      </c>
      <c r="N132" s="16">
        <f t="shared" si="6"/>
        <v>12</v>
      </c>
      <c r="O132" s="16">
        <f t="shared" si="7"/>
        <v>84</v>
      </c>
      <c r="P132" s="25"/>
      <c r="Q132" s="33"/>
      <c r="R132" s="23"/>
      <c r="S132" s="28"/>
      <c r="T132" s="34"/>
      <c r="U132" s="34"/>
    </row>
    <row r="133" spans="1:21" ht="18" customHeight="1">
      <c r="A133" s="11">
        <v>131</v>
      </c>
      <c r="B133" s="41" t="s">
        <v>157</v>
      </c>
      <c r="C133" s="34" t="s">
        <v>155</v>
      </c>
      <c r="D133" s="36"/>
      <c r="E133" s="28"/>
      <c r="F133" s="23"/>
      <c r="G133" s="24">
        <v>48</v>
      </c>
      <c r="H133" s="39"/>
      <c r="I133" s="39"/>
      <c r="J133" s="30">
        <v>3.5</v>
      </c>
      <c r="K133" s="16">
        <f t="shared" si="4"/>
        <v>28</v>
      </c>
      <c r="L133" s="17">
        <v>5</v>
      </c>
      <c r="M133" s="16">
        <f t="shared" si="5"/>
        <v>60</v>
      </c>
      <c r="N133" s="16">
        <f t="shared" si="6"/>
        <v>20</v>
      </c>
      <c r="O133" s="16">
        <f t="shared" si="7"/>
        <v>108</v>
      </c>
      <c r="P133" s="25"/>
      <c r="Q133" s="33"/>
      <c r="R133" s="23"/>
      <c r="S133" s="28"/>
      <c r="T133" s="34"/>
      <c r="U133" s="34"/>
    </row>
    <row r="134" spans="1:21" ht="18" customHeight="1">
      <c r="A134" s="11">
        <v>132</v>
      </c>
      <c r="B134" s="41" t="s">
        <v>158</v>
      </c>
      <c r="C134" s="34" t="s">
        <v>155</v>
      </c>
      <c r="D134" s="36"/>
      <c r="E134" s="28"/>
      <c r="F134" s="23"/>
      <c r="G134" s="24">
        <v>32</v>
      </c>
      <c r="H134" s="39"/>
      <c r="I134" s="39"/>
      <c r="J134" s="30">
        <v>3</v>
      </c>
      <c r="K134" s="16">
        <f t="shared" si="4"/>
        <v>24</v>
      </c>
      <c r="L134" s="17"/>
      <c r="M134" s="16"/>
      <c r="N134" s="16"/>
      <c r="O134" s="16">
        <f t="shared" si="7"/>
        <v>24</v>
      </c>
      <c r="P134" s="25"/>
      <c r="Q134" s="33"/>
      <c r="R134" s="23"/>
      <c r="S134" s="28"/>
      <c r="T134" s="34"/>
      <c r="U134" s="34"/>
    </row>
    <row r="135" spans="1:21" ht="18" customHeight="1">
      <c r="A135" s="11">
        <v>133</v>
      </c>
      <c r="B135" s="41" t="s">
        <v>159</v>
      </c>
      <c r="C135" s="34" t="s">
        <v>155</v>
      </c>
      <c r="D135" s="36"/>
      <c r="E135" s="28"/>
      <c r="F135" s="23"/>
      <c r="G135" s="24"/>
      <c r="H135" s="39"/>
      <c r="I135" s="39"/>
      <c r="J135" s="30">
        <v>3</v>
      </c>
      <c r="K135" s="16">
        <f t="shared" si="4"/>
        <v>24</v>
      </c>
      <c r="L135" s="17"/>
      <c r="M135" s="16"/>
      <c r="N135" s="16"/>
      <c r="O135" s="16">
        <f t="shared" si="7"/>
        <v>24</v>
      </c>
      <c r="P135" s="25"/>
      <c r="Q135" s="33"/>
      <c r="R135" s="23"/>
      <c r="S135" s="28"/>
      <c r="T135" s="34"/>
      <c r="U135" s="34"/>
    </row>
    <row r="136" spans="1:21" s="1" customFormat="1" ht="18" customHeight="1">
      <c r="A136" s="11">
        <v>134</v>
      </c>
      <c r="B136" s="41" t="s">
        <v>160</v>
      </c>
      <c r="C136" s="34" t="s">
        <v>155</v>
      </c>
      <c r="D136" s="36"/>
      <c r="E136" s="28">
        <v>64</v>
      </c>
      <c r="F136" s="23"/>
      <c r="G136" s="24"/>
      <c r="H136" s="39"/>
      <c r="I136" s="39"/>
      <c r="J136" s="30">
        <v>1</v>
      </c>
      <c r="K136" s="16">
        <f t="shared" si="4"/>
        <v>8</v>
      </c>
      <c r="L136" s="17"/>
      <c r="M136" s="16"/>
      <c r="N136" s="16"/>
      <c r="O136" s="16">
        <f t="shared" si="7"/>
        <v>8</v>
      </c>
      <c r="P136" s="25"/>
      <c r="Q136" s="33"/>
      <c r="R136" s="23"/>
      <c r="S136" s="28"/>
      <c r="T136" s="34"/>
      <c r="U136" s="34"/>
    </row>
    <row r="137" spans="1:21" ht="18" customHeight="1">
      <c r="A137" s="11">
        <v>135</v>
      </c>
      <c r="B137" s="41" t="s">
        <v>161</v>
      </c>
      <c r="C137" s="34" t="s">
        <v>155</v>
      </c>
      <c r="D137" s="36"/>
      <c r="E137" s="28"/>
      <c r="F137" s="23"/>
      <c r="G137" s="24">
        <v>8</v>
      </c>
      <c r="H137" s="39"/>
      <c r="I137" s="39"/>
      <c r="J137" s="30">
        <v>4</v>
      </c>
      <c r="K137" s="16">
        <f t="shared" ref="K137:K200" si="8">J137*8</f>
        <v>32</v>
      </c>
      <c r="L137" s="17">
        <v>4</v>
      </c>
      <c r="M137" s="16">
        <f t="shared" ref="M137:M200" si="9">L137*12</f>
        <v>48</v>
      </c>
      <c r="N137" s="16">
        <f t="shared" ref="N137:N200" si="10">L137*4</f>
        <v>16</v>
      </c>
      <c r="O137" s="16">
        <f t="shared" ref="O137:O200" si="11">N137+M137+K137</f>
        <v>96</v>
      </c>
      <c r="P137" s="25"/>
      <c r="Q137" s="33"/>
      <c r="R137" s="23"/>
      <c r="S137" s="28"/>
      <c r="T137" s="34"/>
      <c r="U137" s="34"/>
    </row>
    <row r="138" spans="1:21" ht="18" customHeight="1">
      <c r="A138" s="11">
        <v>136</v>
      </c>
      <c r="B138" s="41" t="s">
        <v>162</v>
      </c>
      <c r="C138" s="34" t="s">
        <v>155</v>
      </c>
      <c r="D138" s="36"/>
      <c r="E138" s="28"/>
      <c r="F138" s="23"/>
      <c r="G138" s="24">
        <v>32</v>
      </c>
      <c r="H138" s="39"/>
      <c r="I138" s="39"/>
      <c r="J138" s="30">
        <v>1</v>
      </c>
      <c r="K138" s="16">
        <f t="shared" si="8"/>
        <v>8</v>
      </c>
      <c r="L138" s="17"/>
      <c r="M138" s="16"/>
      <c r="N138" s="16"/>
      <c r="O138" s="16">
        <f t="shared" si="11"/>
        <v>8</v>
      </c>
      <c r="P138" s="25"/>
      <c r="Q138" s="33"/>
      <c r="R138" s="23"/>
      <c r="S138" s="28"/>
      <c r="T138" s="34"/>
      <c r="U138" s="34"/>
    </row>
    <row r="139" spans="1:21" ht="18" customHeight="1">
      <c r="A139" s="11">
        <v>137</v>
      </c>
      <c r="B139" s="41" t="s">
        <v>163</v>
      </c>
      <c r="C139" s="34" t="s">
        <v>155</v>
      </c>
      <c r="D139" s="36"/>
      <c r="E139" s="28"/>
      <c r="F139" s="23"/>
      <c r="G139" s="24">
        <v>8</v>
      </c>
      <c r="H139" s="39"/>
      <c r="I139" s="39"/>
      <c r="J139" s="30">
        <v>3</v>
      </c>
      <c r="K139" s="16">
        <f t="shared" si="8"/>
        <v>24</v>
      </c>
      <c r="L139" s="17">
        <v>3</v>
      </c>
      <c r="M139" s="16">
        <f t="shared" si="9"/>
        <v>36</v>
      </c>
      <c r="N139" s="16">
        <f t="shared" si="10"/>
        <v>12</v>
      </c>
      <c r="O139" s="16">
        <f t="shared" si="11"/>
        <v>72</v>
      </c>
      <c r="P139" s="25"/>
      <c r="Q139" s="33"/>
      <c r="R139" s="23"/>
      <c r="S139" s="28"/>
      <c r="T139" s="34"/>
      <c r="U139" s="34"/>
    </row>
    <row r="140" spans="1:21" ht="18" customHeight="1">
      <c r="A140" s="11">
        <v>138</v>
      </c>
      <c r="B140" s="41" t="s">
        <v>164</v>
      </c>
      <c r="C140" s="34" t="s">
        <v>155</v>
      </c>
      <c r="D140" s="36"/>
      <c r="E140" s="28"/>
      <c r="F140" s="23">
        <v>20</v>
      </c>
      <c r="G140" s="24">
        <v>44</v>
      </c>
      <c r="H140" s="39"/>
      <c r="I140" s="39"/>
      <c r="J140" s="30">
        <v>6.5</v>
      </c>
      <c r="K140" s="16">
        <f t="shared" si="8"/>
        <v>52</v>
      </c>
      <c r="L140" s="17">
        <v>5</v>
      </c>
      <c r="M140" s="16">
        <f t="shared" si="9"/>
        <v>60</v>
      </c>
      <c r="N140" s="16">
        <f t="shared" si="10"/>
        <v>20</v>
      </c>
      <c r="O140" s="16">
        <f t="shared" si="11"/>
        <v>132</v>
      </c>
      <c r="P140" s="25"/>
      <c r="Q140" s="33"/>
      <c r="R140" s="23"/>
      <c r="S140" s="28"/>
      <c r="T140" s="34"/>
      <c r="U140" s="34"/>
    </row>
    <row r="141" spans="1:21" ht="18" customHeight="1">
      <c r="A141" s="11">
        <v>139</v>
      </c>
      <c r="B141" s="41" t="s">
        <v>165</v>
      </c>
      <c r="C141" s="34" t="s">
        <v>155</v>
      </c>
      <c r="D141" s="36"/>
      <c r="E141" s="28"/>
      <c r="F141" s="23"/>
      <c r="G141" s="24">
        <v>16</v>
      </c>
      <c r="H141" s="39"/>
      <c r="I141" s="39"/>
      <c r="J141" s="30">
        <v>3.5</v>
      </c>
      <c r="K141" s="16">
        <f t="shared" si="8"/>
        <v>28</v>
      </c>
      <c r="L141" s="17">
        <v>4</v>
      </c>
      <c r="M141" s="16">
        <f t="shared" si="9"/>
        <v>48</v>
      </c>
      <c r="N141" s="16">
        <f t="shared" si="10"/>
        <v>16</v>
      </c>
      <c r="O141" s="16">
        <f t="shared" si="11"/>
        <v>92</v>
      </c>
      <c r="P141" s="25"/>
      <c r="Q141" s="33"/>
      <c r="R141" s="23"/>
      <c r="S141" s="28"/>
      <c r="T141" s="34"/>
      <c r="U141" s="34"/>
    </row>
    <row r="142" spans="1:21" ht="18" customHeight="1">
      <c r="A142" s="11">
        <v>140</v>
      </c>
      <c r="B142" s="42" t="s">
        <v>166</v>
      </c>
      <c r="C142" s="34" t="s">
        <v>155</v>
      </c>
      <c r="D142" s="12"/>
      <c r="E142" s="28"/>
      <c r="F142" s="23">
        <v>12</v>
      </c>
      <c r="G142" s="24">
        <v>52</v>
      </c>
      <c r="H142" s="39"/>
      <c r="I142" s="39"/>
      <c r="J142" s="30">
        <v>6</v>
      </c>
      <c r="K142" s="16">
        <f t="shared" si="8"/>
        <v>48</v>
      </c>
      <c r="L142" s="17">
        <v>6</v>
      </c>
      <c r="M142" s="16">
        <f t="shared" si="9"/>
        <v>72</v>
      </c>
      <c r="N142" s="16">
        <f t="shared" si="10"/>
        <v>24</v>
      </c>
      <c r="O142" s="16">
        <f t="shared" si="11"/>
        <v>144</v>
      </c>
      <c r="P142" s="25"/>
      <c r="Q142" s="33"/>
      <c r="R142" s="23"/>
      <c r="S142" s="28"/>
      <c r="T142" s="34"/>
      <c r="U142" s="34"/>
    </row>
    <row r="143" spans="1:21" ht="18" customHeight="1">
      <c r="A143" s="11">
        <v>141</v>
      </c>
      <c r="B143" s="42" t="s">
        <v>167</v>
      </c>
      <c r="C143" s="34" t="s">
        <v>155</v>
      </c>
      <c r="D143" s="12"/>
      <c r="E143" s="28"/>
      <c r="F143" s="23"/>
      <c r="G143" s="24">
        <v>40</v>
      </c>
      <c r="H143" s="39"/>
      <c r="I143" s="39"/>
      <c r="J143" s="30">
        <v>3</v>
      </c>
      <c r="K143" s="16">
        <f t="shared" si="8"/>
        <v>24</v>
      </c>
      <c r="L143" s="17">
        <v>4</v>
      </c>
      <c r="M143" s="16">
        <f t="shared" si="9"/>
        <v>48</v>
      </c>
      <c r="N143" s="16">
        <f t="shared" si="10"/>
        <v>16</v>
      </c>
      <c r="O143" s="16">
        <f t="shared" si="11"/>
        <v>88</v>
      </c>
      <c r="P143" s="25"/>
      <c r="Q143" s="33"/>
      <c r="R143" s="23"/>
      <c r="S143" s="28"/>
      <c r="T143" s="34"/>
      <c r="U143" s="34"/>
    </row>
    <row r="144" spans="1:21" ht="18" customHeight="1">
      <c r="A144" s="11">
        <v>142</v>
      </c>
      <c r="B144" s="19" t="s">
        <v>168</v>
      </c>
      <c r="C144" s="34" t="s">
        <v>155</v>
      </c>
      <c r="D144" s="21"/>
      <c r="E144" s="28"/>
      <c r="F144" s="23"/>
      <c r="G144" s="24"/>
      <c r="H144" s="39"/>
      <c r="I144" s="39"/>
      <c r="J144" s="30">
        <v>8.5</v>
      </c>
      <c r="K144" s="16">
        <f t="shared" si="8"/>
        <v>68</v>
      </c>
      <c r="L144" s="17">
        <v>7</v>
      </c>
      <c r="M144" s="16">
        <f t="shared" si="9"/>
        <v>84</v>
      </c>
      <c r="N144" s="16">
        <f t="shared" si="10"/>
        <v>28</v>
      </c>
      <c r="O144" s="16">
        <f t="shared" si="11"/>
        <v>180</v>
      </c>
      <c r="P144" s="25"/>
      <c r="Q144" s="33"/>
      <c r="R144" s="23"/>
      <c r="S144" s="28"/>
      <c r="T144" s="34"/>
      <c r="U144" s="34"/>
    </row>
    <row r="145" spans="1:21" ht="18" customHeight="1">
      <c r="A145" s="11">
        <v>143</v>
      </c>
      <c r="B145" s="19" t="s">
        <v>169</v>
      </c>
      <c r="C145" s="34" t="s">
        <v>155</v>
      </c>
      <c r="D145" s="21"/>
      <c r="E145" s="28"/>
      <c r="F145" s="23"/>
      <c r="G145" s="24">
        <v>16</v>
      </c>
      <c r="H145" s="39"/>
      <c r="I145" s="39"/>
      <c r="J145" s="30">
        <v>8</v>
      </c>
      <c r="K145" s="16">
        <f t="shared" si="8"/>
        <v>64</v>
      </c>
      <c r="L145" s="17">
        <v>6</v>
      </c>
      <c r="M145" s="16">
        <f t="shared" si="9"/>
        <v>72</v>
      </c>
      <c r="N145" s="16">
        <f t="shared" si="10"/>
        <v>24</v>
      </c>
      <c r="O145" s="16">
        <f t="shared" si="11"/>
        <v>160</v>
      </c>
      <c r="P145" s="25"/>
      <c r="Q145" s="33"/>
      <c r="R145" s="23"/>
      <c r="S145" s="28"/>
      <c r="T145" s="34"/>
      <c r="U145" s="34"/>
    </row>
    <row r="146" spans="1:21" ht="18" customHeight="1">
      <c r="A146" s="11">
        <v>144</v>
      </c>
      <c r="B146" s="42" t="s">
        <v>170</v>
      </c>
      <c r="C146" s="34" t="s">
        <v>155</v>
      </c>
      <c r="D146" s="21"/>
      <c r="E146" s="28"/>
      <c r="F146" s="23"/>
      <c r="G146" s="24">
        <v>32</v>
      </c>
      <c r="H146" s="39"/>
      <c r="I146" s="39"/>
      <c r="J146" s="30">
        <v>6.5</v>
      </c>
      <c r="K146" s="16">
        <f t="shared" si="8"/>
        <v>52</v>
      </c>
      <c r="L146" s="17">
        <v>5</v>
      </c>
      <c r="M146" s="16">
        <f t="shared" si="9"/>
        <v>60</v>
      </c>
      <c r="N146" s="16">
        <f t="shared" si="10"/>
        <v>20</v>
      </c>
      <c r="O146" s="16">
        <f t="shared" si="11"/>
        <v>132</v>
      </c>
      <c r="P146" s="25"/>
      <c r="Q146" s="33"/>
      <c r="R146" s="23"/>
      <c r="S146" s="28"/>
      <c r="T146" s="34"/>
      <c r="U146" s="34"/>
    </row>
    <row r="147" spans="1:21" s="1" customFormat="1" ht="18" customHeight="1">
      <c r="A147" s="11">
        <v>145</v>
      </c>
      <c r="B147" s="42" t="s">
        <v>171</v>
      </c>
      <c r="C147" s="34" t="s">
        <v>155</v>
      </c>
      <c r="D147" s="21"/>
      <c r="E147" s="28"/>
      <c r="F147" s="23"/>
      <c r="G147" s="24">
        <v>48</v>
      </c>
      <c r="H147" s="39"/>
      <c r="I147" s="39"/>
      <c r="J147" s="30">
        <v>2</v>
      </c>
      <c r="K147" s="16">
        <f t="shared" si="8"/>
        <v>16</v>
      </c>
      <c r="L147" s="17">
        <v>2</v>
      </c>
      <c r="M147" s="16">
        <f t="shared" si="9"/>
        <v>24</v>
      </c>
      <c r="N147" s="16">
        <f t="shared" si="10"/>
        <v>8</v>
      </c>
      <c r="O147" s="16">
        <f t="shared" si="11"/>
        <v>48</v>
      </c>
      <c r="P147" s="25"/>
      <c r="Q147" s="33"/>
      <c r="R147" s="23"/>
      <c r="S147" s="28"/>
      <c r="T147" s="34"/>
      <c r="U147" s="34"/>
    </row>
    <row r="148" spans="1:21" ht="18" customHeight="1">
      <c r="A148" s="11">
        <v>146</v>
      </c>
      <c r="B148" s="42" t="s">
        <v>172</v>
      </c>
      <c r="C148" s="34" t="s">
        <v>155</v>
      </c>
      <c r="D148" s="12"/>
      <c r="E148" s="28"/>
      <c r="F148" s="23"/>
      <c r="G148" s="24"/>
      <c r="H148" s="39"/>
      <c r="I148" s="39"/>
      <c r="J148" s="30">
        <v>4.5</v>
      </c>
      <c r="K148" s="16">
        <f t="shared" si="8"/>
        <v>36</v>
      </c>
      <c r="L148" s="17">
        <v>5</v>
      </c>
      <c r="M148" s="16">
        <f t="shared" si="9"/>
        <v>60</v>
      </c>
      <c r="N148" s="16">
        <f t="shared" si="10"/>
        <v>20</v>
      </c>
      <c r="O148" s="16">
        <f t="shared" si="11"/>
        <v>116</v>
      </c>
      <c r="P148" s="25"/>
      <c r="Q148" s="33"/>
      <c r="R148" s="23"/>
      <c r="S148" s="28"/>
      <c r="T148" s="34"/>
      <c r="U148" s="34"/>
    </row>
    <row r="149" spans="1:21" ht="18" customHeight="1">
      <c r="A149" s="11">
        <v>147</v>
      </c>
      <c r="B149" s="19" t="s">
        <v>173</v>
      </c>
      <c r="C149" s="34" t="s">
        <v>155</v>
      </c>
      <c r="D149" s="21"/>
      <c r="E149" s="28"/>
      <c r="F149" s="23"/>
      <c r="G149" s="24">
        <v>40</v>
      </c>
      <c r="H149" s="39"/>
      <c r="I149" s="39"/>
      <c r="J149" s="30">
        <v>2.5</v>
      </c>
      <c r="K149" s="16">
        <f t="shared" si="8"/>
        <v>20</v>
      </c>
      <c r="L149" s="17">
        <v>5</v>
      </c>
      <c r="M149" s="16">
        <f t="shared" si="9"/>
        <v>60</v>
      </c>
      <c r="N149" s="16">
        <f t="shared" si="10"/>
        <v>20</v>
      </c>
      <c r="O149" s="16">
        <f t="shared" si="11"/>
        <v>100</v>
      </c>
      <c r="P149" s="25"/>
      <c r="Q149" s="33"/>
      <c r="R149" s="23"/>
      <c r="S149" s="28"/>
      <c r="T149" s="34"/>
      <c r="U149" s="34"/>
    </row>
    <row r="150" spans="1:21" s="1" customFormat="1" ht="18" customHeight="1">
      <c r="A150" s="11">
        <v>148</v>
      </c>
      <c r="B150" s="42" t="s">
        <v>174</v>
      </c>
      <c r="C150" s="34" t="s">
        <v>155</v>
      </c>
      <c r="D150" s="21"/>
      <c r="E150" s="28"/>
      <c r="F150" s="23"/>
      <c r="G150" s="24">
        <v>48</v>
      </c>
      <c r="H150" s="39"/>
      <c r="I150" s="39"/>
      <c r="J150" s="30">
        <v>2.5</v>
      </c>
      <c r="K150" s="16">
        <f t="shared" si="8"/>
        <v>20</v>
      </c>
      <c r="L150" s="17">
        <v>3</v>
      </c>
      <c r="M150" s="16">
        <f t="shared" si="9"/>
        <v>36</v>
      </c>
      <c r="N150" s="16">
        <f t="shared" si="10"/>
        <v>12</v>
      </c>
      <c r="O150" s="16">
        <f t="shared" si="11"/>
        <v>68</v>
      </c>
      <c r="P150" s="25"/>
      <c r="Q150" s="33"/>
      <c r="R150" s="23"/>
      <c r="S150" s="28"/>
      <c r="T150" s="34"/>
      <c r="U150" s="34"/>
    </row>
    <row r="151" spans="1:21" s="1" customFormat="1" ht="18" customHeight="1">
      <c r="A151" s="11">
        <v>149</v>
      </c>
      <c r="B151" s="42" t="s">
        <v>175</v>
      </c>
      <c r="C151" s="34" t="s">
        <v>155</v>
      </c>
      <c r="D151" s="21"/>
      <c r="E151" s="28"/>
      <c r="F151" s="23"/>
      <c r="G151" s="24">
        <v>8</v>
      </c>
      <c r="H151" s="39"/>
      <c r="I151" s="39"/>
      <c r="J151" s="30">
        <v>4.5</v>
      </c>
      <c r="K151" s="16">
        <f t="shared" si="8"/>
        <v>36</v>
      </c>
      <c r="L151" s="17">
        <v>7</v>
      </c>
      <c r="M151" s="16">
        <f t="shared" si="9"/>
        <v>84</v>
      </c>
      <c r="N151" s="16">
        <f t="shared" si="10"/>
        <v>28</v>
      </c>
      <c r="O151" s="16">
        <f t="shared" si="11"/>
        <v>148</v>
      </c>
      <c r="P151" s="25"/>
      <c r="Q151" s="33"/>
      <c r="R151" s="23"/>
      <c r="S151" s="28"/>
      <c r="T151" s="34"/>
      <c r="U151" s="34"/>
    </row>
    <row r="152" spans="1:21" s="1" customFormat="1" ht="18" customHeight="1">
      <c r="A152" s="11">
        <v>150</v>
      </c>
      <c r="B152" s="42" t="s">
        <v>176</v>
      </c>
      <c r="C152" s="34" t="s">
        <v>155</v>
      </c>
      <c r="D152" s="21"/>
      <c r="E152" s="28"/>
      <c r="F152" s="23"/>
      <c r="G152" s="24">
        <v>32</v>
      </c>
      <c r="H152" s="39"/>
      <c r="I152" s="39"/>
      <c r="J152" s="30">
        <v>5</v>
      </c>
      <c r="K152" s="16">
        <f t="shared" si="8"/>
        <v>40</v>
      </c>
      <c r="L152" s="17">
        <v>7</v>
      </c>
      <c r="M152" s="16">
        <f t="shared" si="9"/>
        <v>84</v>
      </c>
      <c r="N152" s="16">
        <f t="shared" si="10"/>
        <v>28</v>
      </c>
      <c r="O152" s="16">
        <f t="shared" si="11"/>
        <v>152</v>
      </c>
      <c r="P152" s="25"/>
      <c r="Q152" s="33"/>
      <c r="R152" s="23"/>
      <c r="S152" s="28"/>
      <c r="T152" s="34"/>
      <c r="U152" s="34"/>
    </row>
    <row r="153" spans="1:21" s="1" customFormat="1" ht="18" customHeight="1">
      <c r="A153" s="11">
        <v>151</v>
      </c>
      <c r="B153" s="32" t="s">
        <v>177</v>
      </c>
      <c r="C153" s="34" t="s">
        <v>155</v>
      </c>
      <c r="D153" s="36"/>
      <c r="E153" s="28"/>
      <c r="F153" s="23"/>
      <c r="G153" s="24"/>
      <c r="H153" s="39"/>
      <c r="I153" s="39"/>
      <c r="J153" s="30">
        <v>9.5</v>
      </c>
      <c r="K153" s="16">
        <f t="shared" si="8"/>
        <v>76</v>
      </c>
      <c r="L153" s="17">
        <v>7</v>
      </c>
      <c r="M153" s="16">
        <f t="shared" si="9"/>
        <v>84</v>
      </c>
      <c r="N153" s="16">
        <f t="shared" si="10"/>
        <v>28</v>
      </c>
      <c r="O153" s="16">
        <f t="shared" si="11"/>
        <v>188</v>
      </c>
      <c r="P153" s="25"/>
      <c r="Q153" s="33"/>
      <c r="R153" s="23"/>
      <c r="S153" s="28"/>
      <c r="T153" s="34"/>
      <c r="U153" s="34"/>
    </row>
    <row r="154" spans="1:21" s="1" customFormat="1" ht="18" customHeight="1">
      <c r="A154" s="11">
        <v>152</v>
      </c>
      <c r="B154" s="42" t="s">
        <v>178</v>
      </c>
      <c r="C154" s="34" t="s">
        <v>155</v>
      </c>
      <c r="D154" s="21"/>
      <c r="E154" s="28"/>
      <c r="F154" s="23"/>
      <c r="G154" s="24">
        <v>16</v>
      </c>
      <c r="H154" s="39"/>
      <c r="I154" s="39"/>
      <c r="J154" s="30">
        <v>6.5</v>
      </c>
      <c r="K154" s="16">
        <f t="shared" si="8"/>
        <v>52</v>
      </c>
      <c r="L154" s="17">
        <v>5</v>
      </c>
      <c r="M154" s="16">
        <f t="shared" si="9"/>
        <v>60</v>
      </c>
      <c r="N154" s="16">
        <f t="shared" si="10"/>
        <v>20</v>
      </c>
      <c r="O154" s="16">
        <f t="shared" si="11"/>
        <v>132</v>
      </c>
      <c r="P154" s="25"/>
      <c r="Q154" s="33"/>
      <c r="R154" s="23"/>
      <c r="S154" s="28"/>
      <c r="T154" s="34"/>
      <c r="U154" s="34"/>
    </row>
    <row r="155" spans="1:21" s="1" customFormat="1" ht="18" customHeight="1">
      <c r="A155" s="11">
        <v>153</v>
      </c>
      <c r="B155" s="42" t="s">
        <v>179</v>
      </c>
      <c r="C155" s="34" t="s">
        <v>155</v>
      </c>
      <c r="D155" s="21"/>
      <c r="E155" s="28"/>
      <c r="F155" s="23"/>
      <c r="G155" s="24">
        <v>32</v>
      </c>
      <c r="H155" s="39"/>
      <c r="I155" s="39"/>
      <c r="J155" s="30">
        <v>8.5</v>
      </c>
      <c r="K155" s="16">
        <f t="shared" si="8"/>
        <v>68</v>
      </c>
      <c r="L155" s="17">
        <v>5</v>
      </c>
      <c r="M155" s="16">
        <f t="shared" si="9"/>
        <v>60</v>
      </c>
      <c r="N155" s="16">
        <f t="shared" si="10"/>
        <v>20</v>
      </c>
      <c r="O155" s="16">
        <f t="shared" si="11"/>
        <v>148</v>
      </c>
      <c r="P155" s="25"/>
      <c r="Q155" s="33"/>
      <c r="R155" s="23"/>
      <c r="S155" s="28"/>
      <c r="T155" s="34"/>
      <c r="U155" s="34"/>
    </row>
    <row r="156" spans="1:21" s="1" customFormat="1" ht="18" customHeight="1">
      <c r="A156" s="11">
        <v>154</v>
      </c>
      <c r="B156" s="42" t="s">
        <v>180</v>
      </c>
      <c r="C156" s="34" t="s">
        <v>155</v>
      </c>
      <c r="D156" s="21"/>
      <c r="E156" s="28"/>
      <c r="F156" s="23"/>
      <c r="G156" s="24">
        <v>8</v>
      </c>
      <c r="H156" s="39"/>
      <c r="I156" s="39"/>
      <c r="J156" s="30">
        <v>4</v>
      </c>
      <c r="K156" s="16">
        <f t="shared" si="8"/>
        <v>32</v>
      </c>
      <c r="L156" s="17">
        <v>4</v>
      </c>
      <c r="M156" s="16">
        <f t="shared" si="9"/>
        <v>48</v>
      </c>
      <c r="N156" s="16">
        <f t="shared" si="10"/>
        <v>16</v>
      </c>
      <c r="O156" s="16">
        <f t="shared" si="11"/>
        <v>96</v>
      </c>
      <c r="P156" s="25"/>
      <c r="Q156" s="33"/>
      <c r="R156" s="23"/>
      <c r="S156" s="28"/>
      <c r="T156" s="34"/>
      <c r="U156" s="34"/>
    </row>
    <row r="157" spans="1:21" s="1" customFormat="1" ht="18" customHeight="1">
      <c r="A157" s="11">
        <v>155</v>
      </c>
      <c r="B157" s="42" t="s">
        <v>181</v>
      </c>
      <c r="C157" s="34" t="s">
        <v>155</v>
      </c>
      <c r="D157" s="21"/>
      <c r="E157" s="28"/>
      <c r="F157" s="23"/>
      <c r="G157" s="24">
        <v>40</v>
      </c>
      <c r="H157" s="39"/>
      <c r="I157" s="39"/>
      <c r="J157" s="30">
        <v>2</v>
      </c>
      <c r="K157" s="16">
        <f t="shared" si="8"/>
        <v>16</v>
      </c>
      <c r="L157" s="17">
        <v>4</v>
      </c>
      <c r="M157" s="16">
        <f t="shared" si="9"/>
        <v>48</v>
      </c>
      <c r="N157" s="16">
        <f t="shared" si="10"/>
        <v>16</v>
      </c>
      <c r="O157" s="16">
        <f t="shared" si="11"/>
        <v>80</v>
      </c>
      <c r="P157" s="25"/>
      <c r="Q157" s="33"/>
      <c r="R157" s="23"/>
      <c r="S157" s="28"/>
      <c r="T157" s="34"/>
      <c r="U157" s="34"/>
    </row>
    <row r="158" spans="1:21" s="1" customFormat="1" ht="18" customHeight="1">
      <c r="A158" s="11">
        <v>156</v>
      </c>
      <c r="B158" s="42" t="s">
        <v>182</v>
      </c>
      <c r="C158" s="34" t="s">
        <v>155</v>
      </c>
      <c r="D158" s="21"/>
      <c r="E158" s="28"/>
      <c r="F158" s="23"/>
      <c r="G158" s="24">
        <v>32</v>
      </c>
      <c r="H158" s="39"/>
      <c r="I158" s="39"/>
      <c r="J158" s="30">
        <v>4</v>
      </c>
      <c r="K158" s="16">
        <f t="shared" si="8"/>
        <v>32</v>
      </c>
      <c r="L158" s="17">
        <v>7</v>
      </c>
      <c r="M158" s="16">
        <f t="shared" si="9"/>
        <v>84</v>
      </c>
      <c r="N158" s="16">
        <f t="shared" si="10"/>
        <v>28</v>
      </c>
      <c r="O158" s="16">
        <f t="shared" si="11"/>
        <v>144</v>
      </c>
      <c r="P158" s="25"/>
      <c r="Q158" s="33"/>
      <c r="R158" s="23"/>
      <c r="S158" s="28"/>
      <c r="T158" s="34"/>
      <c r="U158" s="34"/>
    </row>
    <row r="159" spans="1:21" s="1" customFormat="1" ht="18" customHeight="1">
      <c r="A159" s="11">
        <v>157</v>
      </c>
      <c r="B159" s="42" t="s">
        <v>183</v>
      </c>
      <c r="C159" s="34" t="s">
        <v>155</v>
      </c>
      <c r="D159" s="21"/>
      <c r="E159" s="28"/>
      <c r="F159" s="23"/>
      <c r="G159" s="24"/>
      <c r="H159" s="39"/>
      <c r="I159" s="39"/>
      <c r="J159" s="30">
        <v>8.5</v>
      </c>
      <c r="K159" s="16">
        <f t="shared" si="8"/>
        <v>68</v>
      </c>
      <c r="L159" s="17">
        <v>5</v>
      </c>
      <c r="M159" s="16">
        <f t="shared" si="9"/>
        <v>60</v>
      </c>
      <c r="N159" s="16">
        <f t="shared" si="10"/>
        <v>20</v>
      </c>
      <c r="O159" s="16">
        <f t="shared" si="11"/>
        <v>148</v>
      </c>
      <c r="P159" s="25"/>
      <c r="Q159" s="33"/>
      <c r="R159" s="23"/>
      <c r="S159" s="28"/>
      <c r="T159" s="34"/>
      <c r="U159" s="34"/>
    </row>
    <row r="160" spans="1:21" s="1" customFormat="1" ht="18" customHeight="1">
      <c r="A160" s="11">
        <v>158</v>
      </c>
      <c r="B160" s="42" t="s">
        <v>184</v>
      </c>
      <c r="C160" s="34" t="s">
        <v>155</v>
      </c>
      <c r="D160" s="21"/>
      <c r="E160" s="28">
        <v>24</v>
      </c>
      <c r="F160" s="23">
        <v>16</v>
      </c>
      <c r="G160" s="24"/>
      <c r="H160" s="39"/>
      <c r="I160" s="39"/>
      <c r="J160" s="30">
        <v>4.5</v>
      </c>
      <c r="K160" s="16">
        <f t="shared" si="8"/>
        <v>36</v>
      </c>
      <c r="L160" s="17">
        <v>7</v>
      </c>
      <c r="M160" s="16">
        <f t="shared" si="9"/>
        <v>84</v>
      </c>
      <c r="N160" s="16">
        <f t="shared" si="10"/>
        <v>28</v>
      </c>
      <c r="O160" s="16">
        <f t="shared" si="11"/>
        <v>148</v>
      </c>
      <c r="P160" s="25"/>
      <c r="Q160" s="33"/>
      <c r="R160" s="23"/>
      <c r="S160" s="28"/>
      <c r="T160" s="34"/>
      <c r="U160" s="34"/>
    </row>
    <row r="161" spans="1:21" s="1" customFormat="1" ht="18" customHeight="1">
      <c r="A161" s="11">
        <v>159</v>
      </c>
      <c r="B161" s="42" t="s">
        <v>185</v>
      </c>
      <c r="C161" s="34" t="s">
        <v>155</v>
      </c>
      <c r="D161" s="21"/>
      <c r="E161" s="28"/>
      <c r="F161" s="23">
        <v>16</v>
      </c>
      <c r="G161" s="24">
        <v>10</v>
      </c>
      <c r="H161" s="39"/>
      <c r="I161" s="39"/>
      <c r="J161" s="30">
        <v>4.5</v>
      </c>
      <c r="K161" s="16">
        <f t="shared" si="8"/>
        <v>36</v>
      </c>
      <c r="L161" s="17">
        <v>7</v>
      </c>
      <c r="M161" s="16">
        <f t="shared" si="9"/>
        <v>84</v>
      </c>
      <c r="N161" s="16">
        <f t="shared" si="10"/>
        <v>28</v>
      </c>
      <c r="O161" s="16">
        <f t="shared" si="11"/>
        <v>148</v>
      </c>
      <c r="P161" s="25"/>
      <c r="Q161" s="33"/>
      <c r="R161" s="23"/>
      <c r="S161" s="28"/>
      <c r="T161" s="34"/>
      <c r="U161" s="34"/>
    </row>
    <row r="162" spans="1:21" s="1" customFormat="1" ht="18" customHeight="1">
      <c r="A162" s="11">
        <v>160</v>
      </c>
      <c r="B162" s="42" t="s">
        <v>186</v>
      </c>
      <c r="C162" s="34" t="s">
        <v>155</v>
      </c>
      <c r="D162" s="21"/>
      <c r="E162" s="28"/>
      <c r="F162" s="23">
        <v>16</v>
      </c>
      <c r="G162" s="24">
        <v>32</v>
      </c>
      <c r="H162" s="39"/>
      <c r="I162" s="39"/>
      <c r="J162" s="30">
        <v>6.5</v>
      </c>
      <c r="K162" s="16">
        <f t="shared" si="8"/>
        <v>52</v>
      </c>
      <c r="L162" s="17">
        <v>5</v>
      </c>
      <c r="M162" s="16">
        <f t="shared" si="9"/>
        <v>60</v>
      </c>
      <c r="N162" s="16">
        <f t="shared" si="10"/>
        <v>20</v>
      </c>
      <c r="O162" s="16">
        <f t="shared" si="11"/>
        <v>132</v>
      </c>
      <c r="P162" s="25"/>
      <c r="Q162" s="33"/>
      <c r="R162" s="23"/>
      <c r="S162" s="28"/>
      <c r="T162" s="34"/>
      <c r="U162" s="34"/>
    </row>
    <row r="163" spans="1:21" s="1" customFormat="1" ht="18" customHeight="1">
      <c r="A163" s="11">
        <v>161</v>
      </c>
      <c r="B163" s="42" t="s">
        <v>187</v>
      </c>
      <c r="C163" s="34" t="s">
        <v>155</v>
      </c>
      <c r="D163" s="21"/>
      <c r="E163" s="28"/>
      <c r="F163" s="23">
        <v>16</v>
      </c>
      <c r="G163" s="24">
        <v>53.5</v>
      </c>
      <c r="H163" s="39"/>
      <c r="I163" s="39"/>
      <c r="J163" s="30">
        <v>7</v>
      </c>
      <c r="K163" s="16">
        <f t="shared" si="8"/>
        <v>56</v>
      </c>
      <c r="L163" s="17">
        <v>6</v>
      </c>
      <c r="M163" s="16">
        <f t="shared" si="9"/>
        <v>72</v>
      </c>
      <c r="N163" s="16">
        <f t="shared" si="10"/>
        <v>24</v>
      </c>
      <c r="O163" s="16">
        <f t="shared" si="11"/>
        <v>152</v>
      </c>
      <c r="P163" s="25"/>
      <c r="Q163" s="33"/>
      <c r="R163" s="23"/>
      <c r="S163" s="28"/>
      <c r="T163" s="34"/>
      <c r="U163" s="34"/>
    </row>
    <row r="164" spans="1:21" s="1" customFormat="1" ht="18" customHeight="1">
      <c r="A164" s="11">
        <v>162</v>
      </c>
      <c r="B164" s="42" t="s">
        <v>188</v>
      </c>
      <c r="C164" s="34" t="s">
        <v>155</v>
      </c>
      <c r="D164" s="21"/>
      <c r="E164" s="28"/>
      <c r="F164" s="23">
        <v>16</v>
      </c>
      <c r="G164" s="24"/>
      <c r="H164" s="39"/>
      <c r="I164" s="39"/>
      <c r="J164" s="30">
        <v>2</v>
      </c>
      <c r="K164" s="16">
        <f t="shared" si="8"/>
        <v>16</v>
      </c>
      <c r="L164" s="17"/>
      <c r="M164" s="16"/>
      <c r="N164" s="16"/>
      <c r="O164" s="16">
        <f t="shared" si="11"/>
        <v>16</v>
      </c>
      <c r="P164" s="25"/>
      <c r="Q164" s="33"/>
      <c r="R164" s="23"/>
      <c r="S164" s="28"/>
      <c r="T164" s="34"/>
      <c r="U164" s="34"/>
    </row>
    <row r="165" spans="1:21" s="1" customFormat="1" ht="18" customHeight="1">
      <c r="A165" s="11">
        <v>163</v>
      </c>
      <c r="B165" s="42" t="s">
        <v>189</v>
      </c>
      <c r="C165" s="34" t="s">
        <v>155</v>
      </c>
      <c r="D165" s="21"/>
      <c r="E165" s="28"/>
      <c r="F165" s="23">
        <v>36</v>
      </c>
      <c r="G165" s="24">
        <v>44</v>
      </c>
      <c r="H165" s="39"/>
      <c r="I165" s="39"/>
      <c r="J165" s="30">
        <v>1</v>
      </c>
      <c r="K165" s="16">
        <f t="shared" si="8"/>
        <v>8</v>
      </c>
      <c r="L165" s="17"/>
      <c r="M165" s="16"/>
      <c r="N165" s="16"/>
      <c r="O165" s="16">
        <f t="shared" si="11"/>
        <v>8</v>
      </c>
      <c r="P165" s="25"/>
      <c r="Q165" s="33"/>
      <c r="R165" s="23"/>
      <c r="S165" s="28"/>
      <c r="T165" s="34"/>
      <c r="U165" s="34"/>
    </row>
    <row r="166" spans="1:21" s="1" customFormat="1" ht="18" customHeight="1">
      <c r="A166" s="11">
        <v>164</v>
      </c>
      <c r="B166" s="42" t="s">
        <v>190</v>
      </c>
      <c r="C166" s="34" t="s">
        <v>155</v>
      </c>
      <c r="D166" s="21"/>
      <c r="E166" s="28"/>
      <c r="F166" s="23">
        <v>16</v>
      </c>
      <c r="G166" s="24">
        <v>8</v>
      </c>
      <c r="H166" s="39"/>
      <c r="I166" s="39"/>
      <c r="J166" s="30">
        <v>5.5</v>
      </c>
      <c r="K166" s="16">
        <f t="shared" si="8"/>
        <v>44</v>
      </c>
      <c r="L166" s="17">
        <v>6</v>
      </c>
      <c r="M166" s="16">
        <f t="shared" si="9"/>
        <v>72</v>
      </c>
      <c r="N166" s="16">
        <f t="shared" si="10"/>
        <v>24</v>
      </c>
      <c r="O166" s="16">
        <f t="shared" si="11"/>
        <v>140</v>
      </c>
      <c r="P166" s="25"/>
      <c r="Q166" s="33"/>
      <c r="R166" s="23"/>
      <c r="S166" s="28"/>
      <c r="T166" s="34"/>
      <c r="U166" s="34"/>
    </row>
    <row r="167" spans="1:21" s="1" customFormat="1" ht="18" customHeight="1">
      <c r="A167" s="11">
        <v>165</v>
      </c>
      <c r="B167" s="45" t="s">
        <v>191</v>
      </c>
      <c r="C167" s="34" t="s">
        <v>155</v>
      </c>
      <c r="D167" s="79" t="s">
        <v>446</v>
      </c>
      <c r="E167" s="28"/>
      <c r="F167" s="23"/>
      <c r="G167" s="24"/>
      <c r="H167" s="39"/>
      <c r="I167" s="39"/>
      <c r="J167" s="30"/>
      <c r="K167" s="16"/>
      <c r="L167" s="17"/>
      <c r="M167" s="16"/>
      <c r="N167" s="16"/>
      <c r="O167" s="16"/>
      <c r="P167" s="25"/>
      <c r="Q167" s="33"/>
      <c r="R167" s="23"/>
      <c r="S167" s="28"/>
      <c r="T167" s="34"/>
      <c r="U167" s="34"/>
    </row>
    <row r="168" spans="1:21" s="1" customFormat="1" ht="18" customHeight="1">
      <c r="A168" s="11">
        <v>166</v>
      </c>
      <c r="B168" s="45" t="s">
        <v>192</v>
      </c>
      <c r="C168" s="34" t="s">
        <v>155</v>
      </c>
      <c r="D168" s="79" t="s">
        <v>427</v>
      </c>
      <c r="E168" s="28"/>
      <c r="F168" s="23"/>
      <c r="G168" s="24"/>
      <c r="H168" s="39"/>
      <c r="I168" s="39"/>
      <c r="J168" s="30"/>
      <c r="K168" s="16"/>
      <c r="L168" s="17"/>
      <c r="M168" s="16"/>
      <c r="N168" s="16"/>
      <c r="O168" s="16"/>
      <c r="P168" s="25"/>
      <c r="Q168" s="33"/>
      <c r="R168" s="23"/>
      <c r="S168" s="28"/>
      <c r="T168" s="34"/>
      <c r="U168" s="34"/>
    </row>
    <row r="169" spans="1:21" s="1" customFormat="1" ht="18" customHeight="1">
      <c r="A169" s="11">
        <v>167</v>
      </c>
      <c r="B169" s="45" t="s">
        <v>193</v>
      </c>
      <c r="C169" s="34" t="s">
        <v>155</v>
      </c>
      <c r="D169" s="79"/>
      <c r="E169" s="28"/>
      <c r="F169" s="23">
        <v>16</v>
      </c>
      <c r="G169" s="24">
        <v>8</v>
      </c>
      <c r="H169" s="39"/>
      <c r="I169" s="39"/>
      <c r="J169" s="30">
        <v>2.5</v>
      </c>
      <c r="K169" s="16">
        <f t="shared" si="8"/>
        <v>20</v>
      </c>
      <c r="L169" s="17">
        <v>2</v>
      </c>
      <c r="M169" s="16">
        <f t="shared" si="9"/>
        <v>24</v>
      </c>
      <c r="N169" s="16">
        <f t="shared" si="10"/>
        <v>8</v>
      </c>
      <c r="O169" s="16">
        <f t="shared" si="11"/>
        <v>52</v>
      </c>
      <c r="P169" s="25"/>
      <c r="Q169" s="33"/>
      <c r="R169" s="23"/>
      <c r="S169" s="28"/>
      <c r="T169" s="34"/>
      <c r="U169" s="34"/>
    </row>
    <row r="170" spans="1:21" ht="18" customHeight="1">
      <c r="A170" s="11">
        <v>168</v>
      </c>
      <c r="B170" s="41" t="s">
        <v>194</v>
      </c>
      <c r="C170" s="34" t="s">
        <v>195</v>
      </c>
      <c r="D170" s="36"/>
      <c r="E170" s="28"/>
      <c r="F170" s="23"/>
      <c r="G170" s="24">
        <v>40</v>
      </c>
      <c r="H170" s="39"/>
      <c r="I170" s="39"/>
      <c r="J170" s="30">
        <v>5</v>
      </c>
      <c r="K170" s="16">
        <f t="shared" si="8"/>
        <v>40</v>
      </c>
      <c r="L170" s="17">
        <v>8</v>
      </c>
      <c r="M170" s="16">
        <f t="shared" si="9"/>
        <v>96</v>
      </c>
      <c r="N170" s="16">
        <f t="shared" si="10"/>
        <v>32</v>
      </c>
      <c r="O170" s="16">
        <f t="shared" si="11"/>
        <v>168</v>
      </c>
      <c r="P170" s="25"/>
      <c r="Q170" s="33"/>
      <c r="R170" s="23"/>
      <c r="S170" s="28"/>
      <c r="T170" s="34"/>
      <c r="U170" s="34"/>
    </row>
    <row r="171" spans="1:21" ht="18" customHeight="1">
      <c r="A171" s="11">
        <v>169</v>
      </c>
      <c r="B171" s="41" t="s">
        <v>196</v>
      </c>
      <c r="C171" s="34" t="s">
        <v>195</v>
      </c>
      <c r="D171" s="36"/>
      <c r="E171" s="28"/>
      <c r="F171" s="23"/>
      <c r="G171" s="24">
        <v>40</v>
      </c>
      <c r="H171" s="39"/>
      <c r="I171" s="39"/>
      <c r="J171" s="30">
        <v>3.5</v>
      </c>
      <c r="K171" s="16">
        <f t="shared" si="8"/>
        <v>28</v>
      </c>
      <c r="L171" s="17">
        <v>5</v>
      </c>
      <c r="M171" s="16">
        <f t="shared" si="9"/>
        <v>60</v>
      </c>
      <c r="N171" s="16">
        <f t="shared" si="10"/>
        <v>20</v>
      </c>
      <c r="O171" s="16">
        <f t="shared" si="11"/>
        <v>108</v>
      </c>
      <c r="P171" s="25"/>
      <c r="Q171" s="33"/>
      <c r="R171" s="23"/>
      <c r="S171" s="28"/>
      <c r="T171" s="34"/>
      <c r="U171" s="34"/>
    </row>
    <row r="172" spans="1:21" ht="18" customHeight="1">
      <c r="A172" s="11">
        <v>170</v>
      </c>
      <c r="B172" s="41" t="s">
        <v>197</v>
      </c>
      <c r="C172" s="34" t="s">
        <v>195</v>
      </c>
      <c r="D172" s="36"/>
      <c r="E172" s="28"/>
      <c r="F172" s="23"/>
      <c r="G172" s="24">
        <v>56</v>
      </c>
      <c r="H172" s="39"/>
      <c r="I172" s="39"/>
      <c r="J172" s="30">
        <v>5.5</v>
      </c>
      <c r="K172" s="16">
        <f t="shared" si="8"/>
        <v>44</v>
      </c>
      <c r="L172" s="17">
        <v>11</v>
      </c>
      <c r="M172" s="16">
        <f t="shared" si="9"/>
        <v>132</v>
      </c>
      <c r="N172" s="16">
        <f t="shared" si="10"/>
        <v>44</v>
      </c>
      <c r="O172" s="16">
        <f t="shared" si="11"/>
        <v>220</v>
      </c>
      <c r="P172" s="25"/>
      <c r="Q172" s="33"/>
      <c r="R172" s="23"/>
      <c r="S172" s="28"/>
      <c r="T172" s="34"/>
      <c r="U172" s="34"/>
    </row>
    <row r="173" spans="1:21" ht="18" customHeight="1">
      <c r="A173" s="11">
        <v>171</v>
      </c>
      <c r="B173" s="41" t="s">
        <v>198</v>
      </c>
      <c r="C173" s="34" t="s">
        <v>195</v>
      </c>
      <c r="D173" s="36"/>
      <c r="E173" s="28"/>
      <c r="F173" s="23"/>
      <c r="G173" s="24">
        <v>32</v>
      </c>
      <c r="H173" s="39"/>
      <c r="I173" s="39"/>
      <c r="J173" s="30">
        <v>3</v>
      </c>
      <c r="K173" s="16">
        <f t="shared" si="8"/>
        <v>24</v>
      </c>
      <c r="L173" s="17">
        <v>4</v>
      </c>
      <c r="M173" s="16">
        <f t="shared" si="9"/>
        <v>48</v>
      </c>
      <c r="N173" s="16">
        <f t="shared" si="10"/>
        <v>16</v>
      </c>
      <c r="O173" s="16">
        <f t="shared" si="11"/>
        <v>88</v>
      </c>
      <c r="P173" s="25"/>
      <c r="Q173" s="33"/>
      <c r="R173" s="23"/>
      <c r="S173" s="28"/>
      <c r="T173" s="34"/>
      <c r="U173" s="34"/>
    </row>
    <row r="174" spans="1:21" ht="18" customHeight="1">
      <c r="A174" s="11">
        <v>172</v>
      </c>
      <c r="B174" s="41" t="s">
        <v>199</v>
      </c>
      <c r="C174" s="34" t="s">
        <v>195</v>
      </c>
      <c r="D174" s="36"/>
      <c r="E174" s="28"/>
      <c r="F174" s="23"/>
      <c r="G174" s="24">
        <v>80</v>
      </c>
      <c r="H174" s="39"/>
      <c r="I174" s="39"/>
      <c r="J174" s="30">
        <v>3.5</v>
      </c>
      <c r="K174" s="16">
        <f t="shared" si="8"/>
        <v>28</v>
      </c>
      <c r="L174" s="17">
        <v>5</v>
      </c>
      <c r="M174" s="16">
        <f t="shared" si="9"/>
        <v>60</v>
      </c>
      <c r="N174" s="16">
        <f t="shared" si="10"/>
        <v>20</v>
      </c>
      <c r="O174" s="16">
        <f t="shared" si="11"/>
        <v>108</v>
      </c>
      <c r="P174" s="25"/>
      <c r="Q174" s="33"/>
      <c r="R174" s="23"/>
      <c r="S174" s="28"/>
      <c r="T174" s="34"/>
      <c r="U174" s="34"/>
    </row>
    <row r="175" spans="1:21" ht="18" customHeight="1">
      <c r="A175" s="11">
        <v>173</v>
      </c>
      <c r="B175" s="41" t="s">
        <v>200</v>
      </c>
      <c r="C175" s="34" t="s">
        <v>195</v>
      </c>
      <c r="D175" s="36"/>
      <c r="E175" s="28"/>
      <c r="F175" s="23"/>
      <c r="G175" s="24">
        <v>32</v>
      </c>
      <c r="H175" s="39"/>
      <c r="I175" s="39"/>
      <c r="J175" s="30">
        <v>3.5</v>
      </c>
      <c r="K175" s="16">
        <f t="shared" si="8"/>
        <v>28</v>
      </c>
      <c r="L175" s="17">
        <v>5</v>
      </c>
      <c r="M175" s="16">
        <f t="shared" si="9"/>
        <v>60</v>
      </c>
      <c r="N175" s="16">
        <f t="shared" si="10"/>
        <v>20</v>
      </c>
      <c r="O175" s="16">
        <f t="shared" si="11"/>
        <v>108</v>
      </c>
      <c r="P175" s="25"/>
      <c r="Q175" s="33"/>
      <c r="R175" s="23"/>
      <c r="S175" s="28"/>
      <c r="T175" s="34"/>
      <c r="U175" s="34"/>
    </row>
    <row r="176" spans="1:21" ht="18" customHeight="1">
      <c r="A176" s="11">
        <v>174</v>
      </c>
      <c r="B176" s="41" t="s">
        <v>201</v>
      </c>
      <c r="C176" s="34" t="s">
        <v>202</v>
      </c>
      <c r="D176" s="36"/>
      <c r="E176" s="28"/>
      <c r="F176" s="23"/>
      <c r="G176" s="24">
        <v>16</v>
      </c>
      <c r="H176" s="39"/>
      <c r="I176" s="39"/>
      <c r="J176" s="30"/>
      <c r="K176" s="16"/>
      <c r="L176" s="17"/>
      <c r="M176" s="16"/>
      <c r="N176" s="16"/>
      <c r="O176" s="16"/>
      <c r="P176" s="25"/>
      <c r="Q176" s="33"/>
      <c r="R176" s="23"/>
      <c r="S176" s="28"/>
      <c r="T176" s="34"/>
      <c r="U176" s="34"/>
    </row>
    <row r="177" spans="1:21" ht="18" customHeight="1">
      <c r="A177" s="11">
        <v>175</v>
      </c>
      <c r="B177" s="41" t="s">
        <v>203</v>
      </c>
      <c r="C177" s="34" t="s">
        <v>202</v>
      </c>
      <c r="D177" s="36"/>
      <c r="E177" s="28"/>
      <c r="F177" s="23"/>
      <c r="G177" s="24">
        <v>16</v>
      </c>
      <c r="H177" s="39"/>
      <c r="I177" s="39"/>
      <c r="J177" s="30">
        <v>5</v>
      </c>
      <c r="K177" s="16">
        <f t="shared" si="8"/>
        <v>40</v>
      </c>
      <c r="L177" s="17">
        <v>8</v>
      </c>
      <c r="M177" s="16">
        <f t="shared" si="9"/>
        <v>96</v>
      </c>
      <c r="N177" s="16">
        <f t="shared" si="10"/>
        <v>32</v>
      </c>
      <c r="O177" s="16">
        <f t="shared" si="11"/>
        <v>168</v>
      </c>
      <c r="P177" s="25"/>
      <c r="Q177" s="33"/>
      <c r="R177" s="23"/>
      <c r="S177" s="28"/>
      <c r="T177" s="34"/>
      <c r="U177" s="34"/>
    </row>
    <row r="178" spans="1:21" ht="18" customHeight="1">
      <c r="A178" s="11">
        <v>176</v>
      </c>
      <c r="B178" s="41" t="s">
        <v>204</v>
      </c>
      <c r="C178" s="34" t="s">
        <v>205</v>
      </c>
      <c r="D178" s="36"/>
      <c r="E178" s="28"/>
      <c r="F178" s="23"/>
      <c r="G178" s="24">
        <v>80</v>
      </c>
      <c r="H178" s="39"/>
      <c r="I178" s="39"/>
      <c r="J178" s="30"/>
      <c r="K178" s="16"/>
      <c r="L178" s="17"/>
      <c r="M178" s="16"/>
      <c r="N178" s="16"/>
      <c r="O178" s="16"/>
      <c r="P178" s="25"/>
      <c r="Q178" s="33"/>
      <c r="R178" s="23"/>
      <c r="S178" s="28"/>
      <c r="T178" s="34"/>
      <c r="U178" s="34"/>
    </row>
    <row r="179" spans="1:21" ht="18" customHeight="1">
      <c r="A179" s="11">
        <v>177</v>
      </c>
      <c r="B179" s="41" t="s">
        <v>206</v>
      </c>
      <c r="C179" s="34" t="s">
        <v>205</v>
      </c>
      <c r="D179" s="36"/>
      <c r="E179" s="28"/>
      <c r="F179" s="23"/>
      <c r="G179" s="24">
        <v>48</v>
      </c>
      <c r="H179" s="39"/>
      <c r="I179" s="39"/>
      <c r="J179" s="30">
        <v>1.5</v>
      </c>
      <c r="K179" s="16">
        <f t="shared" si="8"/>
        <v>12</v>
      </c>
      <c r="L179" s="17">
        <v>5</v>
      </c>
      <c r="M179" s="16">
        <f t="shared" si="9"/>
        <v>60</v>
      </c>
      <c r="N179" s="16">
        <f t="shared" si="10"/>
        <v>20</v>
      </c>
      <c r="O179" s="16">
        <f t="shared" si="11"/>
        <v>92</v>
      </c>
      <c r="P179" s="25"/>
      <c r="Q179" s="33"/>
      <c r="R179" s="23"/>
      <c r="S179" s="28"/>
      <c r="T179" s="34"/>
      <c r="U179" s="34"/>
    </row>
    <row r="180" spans="1:21" ht="18" customHeight="1">
      <c r="A180" s="11">
        <v>178</v>
      </c>
      <c r="B180" s="41" t="s">
        <v>207</v>
      </c>
      <c r="C180" s="34" t="s">
        <v>205</v>
      </c>
      <c r="D180" s="36"/>
      <c r="E180" s="28"/>
      <c r="F180" s="23"/>
      <c r="G180" s="24">
        <v>8</v>
      </c>
      <c r="H180" s="39"/>
      <c r="I180" s="39"/>
      <c r="J180" s="30"/>
      <c r="K180" s="16"/>
      <c r="L180" s="17"/>
      <c r="M180" s="16"/>
      <c r="N180" s="16"/>
      <c r="O180" s="16"/>
      <c r="P180" s="25"/>
      <c r="Q180" s="33"/>
      <c r="R180" s="23"/>
      <c r="S180" s="28"/>
      <c r="T180" s="34"/>
      <c r="U180" s="34"/>
    </row>
    <row r="181" spans="1:21" ht="18" customHeight="1">
      <c r="A181" s="11">
        <v>179</v>
      </c>
      <c r="B181" s="48" t="s">
        <v>208</v>
      </c>
      <c r="C181" s="19" t="s">
        <v>205</v>
      </c>
      <c r="D181" s="36"/>
      <c r="E181" s="28"/>
      <c r="F181" s="23"/>
      <c r="G181" s="25">
        <v>32</v>
      </c>
      <c r="H181" s="23"/>
      <c r="I181" s="23"/>
      <c r="J181" s="30">
        <v>3.5</v>
      </c>
      <c r="K181" s="16">
        <f t="shared" si="8"/>
        <v>28</v>
      </c>
      <c r="L181" s="17">
        <v>5</v>
      </c>
      <c r="M181" s="16">
        <f t="shared" si="9"/>
        <v>60</v>
      </c>
      <c r="N181" s="16">
        <f t="shared" si="10"/>
        <v>20</v>
      </c>
      <c r="O181" s="16">
        <f t="shared" si="11"/>
        <v>108</v>
      </c>
      <c r="P181" s="25"/>
      <c r="Q181" s="33"/>
      <c r="R181" s="23"/>
      <c r="S181" s="28"/>
      <c r="T181" s="34"/>
      <c r="U181" s="34"/>
    </row>
    <row r="182" spans="1:21" ht="18" customHeight="1">
      <c r="A182" s="11">
        <v>180</v>
      </c>
      <c r="B182" s="48" t="s">
        <v>209</v>
      </c>
      <c r="C182" s="19" t="s">
        <v>205</v>
      </c>
      <c r="D182" s="36"/>
      <c r="E182" s="28"/>
      <c r="F182" s="23"/>
      <c r="G182" s="25">
        <v>32</v>
      </c>
      <c r="H182" s="23"/>
      <c r="I182" s="23"/>
      <c r="J182" s="30">
        <v>5</v>
      </c>
      <c r="K182" s="16">
        <f t="shared" si="8"/>
        <v>40</v>
      </c>
      <c r="L182" s="17">
        <v>8</v>
      </c>
      <c r="M182" s="16">
        <f t="shared" si="9"/>
        <v>96</v>
      </c>
      <c r="N182" s="16">
        <f t="shared" si="10"/>
        <v>32</v>
      </c>
      <c r="O182" s="16">
        <f t="shared" si="11"/>
        <v>168</v>
      </c>
      <c r="P182" s="25"/>
      <c r="Q182" s="33"/>
      <c r="R182" s="23"/>
      <c r="S182" s="28"/>
      <c r="T182" s="34"/>
      <c r="U182" s="34"/>
    </row>
    <row r="183" spans="1:21" ht="18" customHeight="1">
      <c r="A183" s="11">
        <v>181</v>
      </c>
      <c r="B183" s="48" t="s">
        <v>210</v>
      </c>
      <c r="C183" s="19" t="s">
        <v>205</v>
      </c>
      <c r="D183" s="36"/>
      <c r="E183" s="28"/>
      <c r="F183" s="23"/>
      <c r="G183" s="25">
        <v>8</v>
      </c>
      <c r="H183" s="23"/>
      <c r="I183" s="23"/>
      <c r="J183" s="30">
        <v>2</v>
      </c>
      <c r="K183" s="16">
        <f t="shared" si="8"/>
        <v>16</v>
      </c>
      <c r="L183" s="17">
        <v>4</v>
      </c>
      <c r="M183" s="16">
        <f t="shared" si="9"/>
        <v>48</v>
      </c>
      <c r="N183" s="16">
        <f t="shared" si="10"/>
        <v>16</v>
      </c>
      <c r="O183" s="16">
        <f t="shared" si="11"/>
        <v>80</v>
      </c>
      <c r="P183" s="25"/>
      <c r="Q183" s="33"/>
      <c r="R183" s="23"/>
      <c r="S183" s="28"/>
      <c r="T183" s="34"/>
      <c r="U183" s="34"/>
    </row>
    <row r="184" spans="1:21" ht="18" customHeight="1">
      <c r="A184" s="11">
        <v>182</v>
      </c>
      <c r="B184" s="42" t="s">
        <v>211</v>
      </c>
      <c r="C184" s="19" t="s">
        <v>205</v>
      </c>
      <c r="D184" s="12"/>
      <c r="E184" s="28"/>
      <c r="F184" s="23"/>
      <c r="G184" s="25">
        <v>40</v>
      </c>
      <c r="H184" s="23"/>
      <c r="I184" s="23"/>
      <c r="J184" s="30">
        <v>5</v>
      </c>
      <c r="K184" s="16">
        <f t="shared" si="8"/>
        <v>40</v>
      </c>
      <c r="L184" s="17">
        <v>8</v>
      </c>
      <c r="M184" s="16">
        <f t="shared" si="9"/>
        <v>96</v>
      </c>
      <c r="N184" s="16">
        <f t="shared" si="10"/>
        <v>32</v>
      </c>
      <c r="O184" s="16">
        <f t="shared" si="11"/>
        <v>168</v>
      </c>
      <c r="P184" s="25"/>
      <c r="Q184" s="33"/>
      <c r="R184" s="23"/>
      <c r="S184" s="28"/>
      <c r="T184" s="34"/>
      <c r="U184" s="34"/>
    </row>
    <row r="185" spans="1:21" ht="18" customHeight="1">
      <c r="A185" s="11">
        <v>183</v>
      </c>
      <c r="B185" s="42" t="s">
        <v>212</v>
      </c>
      <c r="C185" s="19" t="s">
        <v>205</v>
      </c>
      <c r="D185" s="12"/>
      <c r="E185" s="28"/>
      <c r="F185" s="23"/>
      <c r="G185" s="25">
        <v>8</v>
      </c>
      <c r="H185" s="23"/>
      <c r="I185" s="23"/>
      <c r="J185" s="30"/>
      <c r="K185" s="16"/>
      <c r="L185" s="17"/>
      <c r="M185" s="16"/>
      <c r="N185" s="16"/>
      <c r="O185" s="16"/>
      <c r="P185" s="25"/>
      <c r="Q185" s="33"/>
      <c r="R185" s="23"/>
      <c r="S185" s="28"/>
      <c r="T185" s="34"/>
      <c r="U185" s="34"/>
    </row>
    <row r="186" spans="1:21" ht="18" customHeight="1">
      <c r="A186" s="11">
        <v>184</v>
      </c>
      <c r="B186" s="42" t="s">
        <v>213</v>
      </c>
      <c r="C186" s="19" t="s">
        <v>205</v>
      </c>
      <c r="D186" s="12"/>
      <c r="E186" s="28"/>
      <c r="F186" s="23"/>
      <c r="G186" s="25">
        <v>48</v>
      </c>
      <c r="H186" s="23"/>
      <c r="I186" s="23"/>
      <c r="J186" s="30">
        <v>1.5</v>
      </c>
      <c r="K186" s="16">
        <f t="shared" si="8"/>
        <v>12</v>
      </c>
      <c r="L186" s="17">
        <v>4</v>
      </c>
      <c r="M186" s="16">
        <f t="shared" si="9"/>
        <v>48</v>
      </c>
      <c r="N186" s="16">
        <f t="shared" si="10"/>
        <v>16</v>
      </c>
      <c r="O186" s="16">
        <f t="shared" si="11"/>
        <v>76</v>
      </c>
      <c r="P186" s="25"/>
      <c r="Q186" s="33"/>
      <c r="R186" s="23"/>
      <c r="S186" s="28"/>
      <c r="T186" s="34"/>
      <c r="U186" s="34"/>
    </row>
    <row r="187" spans="1:21" ht="18" customHeight="1">
      <c r="A187" s="11">
        <v>185</v>
      </c>
      <c r="B187" s="42" t="s">
        <v>214</v>
      </c>
      <c r="C187" s="19" t="s">
        <v>205</v>
      </c>
      <c r="D187" s="12"/>
      <c r="E187" s="28"/>
      <c r="F187" s="23"/>
      <c r="G187" s="25">
        <v>8</v>
      </c>
      <c r="H187" s="23"/>
      <c r="I187" s="23"/>
      <c r="J187" s="30">
        <v>1.5</v>
      </c>
      <c r="K187" s="16">
        <f t="shared" si="8"/>
        <v>12</v>
      </c>
      <c r="L187" s="17">
        <v>1</v>
      </c>
      <c r="M187" s="16">
        <f t="shared" si="9"/>
        <v>12</v>
      </c>
      <c r="N187" s="16">
        <f t="shared" si="10"/>
        <v>4</v>
      </c>
      <c r="O187" s="16">
        <f t="shared" si="11"/>
        <v>28</v>
      </c>
      <c r="P187" s="25"/>
      <c r="Q187" s="33"/>
      <c r="R187" s="23"/>
      <c r="S187" s="28"/>
      <c r="T187" s="34"/>
      <c r="U187" s="34"/>
    </row>
    <row r="188" spans="1:21" ht="18" customHeight="1">
      <c r="A188" s="11">
        <v>186</v>
      </c>
      <c r="B188" s="42" t="s">
        <v>215</v>
      </c>
      <c r="C188" s="19" t="s">
        <v>205</v>
      </c>
      <c r="D188" s="12"/>
      <c r="E188" s="28"/>
      <c r="F188" s="23"/>
      <c r="G188" s="25">
        <v>8</v>
      </c>
      <c r="H188" s="23"/>
      <c r="I188" s="23"/>
      <c r="J188" s="30">
        <v>3</v>
      </c>
      <c r="K188" s="16">
        <f t="shared" si="8"/>
        <v>24</v>
      </c>
      <c r="L188" s="17">
        <v>4</v>
      </c>
      <c r="M188" s="16">
        <f t="shared" si="9"/>
        <v>48</v>
      </c>
      <c r="N188" s="16">
        <f t="shared" si="10"/>
        <v>16</v>
      </c>
      <c r="O188" s="16">
        <f t="shared" si="11"/>
        <v>88</v>
      </c>
      <c r="P188" s="25"/>
      <c r="Q188" s="33"/>
      <c r="R188" s="23"/>
      <c r="S188" s="28"/>
      <c r="T188" s="34"/>
      <c r="U188" s="34"/>
    </row>
    <row r="189" spans="1:21" ht="18" customHeight="1">
      <c r="A189" s="11">
        <v>187</v>
      </c>
      <c r="B189" s="42" t="s">
        <v>216</v>
      </c>
      <c r="C189" s="19" t="s">
        <v>205</v>
      </c>
      <c r="D189" s="12"/>
      <c r="E189" s="28"/>
      <c r="F189" s="23"/>
      <c r="G189" s="25">
        <v>15</v>
      </c>
      <c r="H189" s="23"/>
      <c r="I189" s="23"/>
      <c r="J189" s="30">
        <v>4</v>
      </c>
      <c r="K189" s="16">
        <f t="shared" si="8"/>
        <v>32</v>
      </c>
      <c r="L189" s="17">
        <v>7</v>
      </c>
      <c r="M189" s="16">
        <f t="shared" si="9"/>
        <v>84</v>
      </c>
      <c r="N189" s="16">
        <f t="shared" si="10"/>
        <v>28</v>
      </c>
      <c r="O189" s="16">
        <f t="shared" si="11"/>
        <v>144</v>
      </c>
      <c r="P189" s="25"/>
      <c r="Q189" s="33"/>
      <c r="R189" s="23"/>
      <c r="S189" s="28"/>
      <c r="T189" s="34"/>
      <c r="U189" s="34"/>
    </row>
    <row r="190" spans="1:21" ht="18" customHeight="1">
      <c r="A190" s="11">
        <v>188</v>
      </c>
      <c r="B190" s="19" t="s">
        <v>217</v>
      </c>
      <c r="C190" s="19" t="s">
        <v>205</v>
      </c>
      <c r="D190" s="21"/>
      <c r="E190" s="28"/>
      <c r="F190" s="23"/>
      <c r="G190" s="25">
        <v>32</v>
      </c>
      <c r="H190" s="23"/>
      <c r="I190" s="23"/>
      <c r="J190" s="30">
        <v>4.5</v>
      </c>
      <c r="K190" s="16">
        <f t="shared" si="8"/>
        <v>36</v>
      </c>
      <c r="L190" s="17">
        <v>7</v>
      </c>
      <c r="M190" s="16">
        <f t="shared" si="9"/>
        <v>84</v>
      </c>
      <c r="N190" s="16">
        <f t="shared" si="10"/>
        <v>28</v>
      </c>
      <c r="O190" s="16">
        <f t="shared" si="11"/>
        <v>148</v>
      </c>
      <c r="P190" s="25"/>
      <c r="Q190" s="33"/>
      <c r="R190" s="23"/>
      <c r="S190" s="28"/>
      <c r="T190" s="34"/>
      <c r="U190" s="34"/>
    </row>
    <row r="191" spans="1:21" ht="18" customHeight="1">
      <c r="A191" s="11">
        <v>189</v>
      </c>
      <c r="B191" s="19" t="s">
        <v>218</v>
      </c>
      <c r="C191" s="19" t="s">
        <v>205</v>
      </c>
      <c r="D191" s="21"/>
      <c r="E191" s="28"/>
      <c r="F191" s="23"/>
      <c r="G191" s="25">
        <v>16</v>
      </c>
      <c r="H191" s="23"/>
      <c r="I191" s="23"/>
      <c r="J191" s="30">
        <v>4</v>
      </c>
      <c r="K191" s="16">
        <f t="shared" si="8"/>
        <v>32</v>
      </c>
      <c r="L191" s="17">
        <v>6</v>
      </c>
      <c r="M191" s="16">
        <f t="shared" si="9"/>
        <v>72</v>
      </c>
      <c r="N191" s="16">
        <f t="shared" si="10"/>
        <v>24</v>
      </c>
      <c r="O191" s="16">
        <f t="shared" si="11"/>
        <v>128</v>
      </c>
      <c r="P191" s="25"/>
      <c r="Q191" s="33"/>
      <c r="R191" s="23"/>
      <c r="S191" s="28"/>
      <c r="T191" s="34"/>
      <c r="U191" s="34"/>
    </row>
    <row r="192" spans="1:21" ht="18" customHeight="1">
      <c r="A192" s="11">
        <v>190</v>
      </c>
      <c r="B192" s="19" t="s">
        <v>219</v>
      </c>
      <c r="C192" s="19" t="s">
        <v>205</v>
      </c>
      <c r="D192" s="21"/>
      <c r="E192" s="28"/>
      <c r="F192" s="23"/>
      <c r="G192" s="25">
        <v>8</v>
      </c>
      <c r="H192" s="23"/>
      <c r="I192" s="23"/>
      <c r="J192" s="30"/>
      <c r="K192" s="16"/>
      <c r="L192" s="17"/>
      <c r="M192" s="16"/>
      <c r="N192" s="16"/>
      <c r="O192" s="16"/>
      <c r="P192" s="25"/>
      <c r="Q192" s="33"/>
      <c r="R192" s="23"/>
      <c r="S192" s="28"/>
      <c r="T192" s="34"/>
      <c r="U192" s="34"/>
    </row>
    <row r="193" spans="1:21" ht="18" customHeight="1">
      <c r="A193" s="11">
        <v>191</v>
      </c>
      <c r="B193" s="19" t="s">
        <v>220</v>
      </c>
      <c r="C193" s="19" t="s">
        <v>205</v>
      </c>
      <c r="D193" s="21"/>
      <c r="E193" s="28"/>
      <c r="F193" s="23"/>
      <c r="G193" s="25">
        <v>40</v>
      </c>
      <c r="H193" s="23"/>
      <c r="I193" s="23"/>
      <c r="J193" s="30">
        <v>1.5</v>
      </c>
      <c r="K193" s="16">
        <f t="shared" si="8"/>
        <v>12</v>
      </c>
      <c r="L193" s="17">
        <v>5</v>
      </c>
      <c r="M193" s="16">
        <f t="shared" si="9"/>
        <v>60</v>
      </c>
      <c r="N193" s="16">
        <f t="shared" si="10"/>
        <v>20</v>
      </c>
      <c r="O193" s="16">
        <f t="shared" si="11"/>
        <v>92</v>
      </c>
      <c r="P193" s="25"/>
      <c r="Q193" s="33"/>
      <c r="R193" s="23"/>
      <c r="S193" s="28"/>
      <c r="T193" s="34"/>
      <c r="U193" s="34"/>
    </row>
    <row r="194" spans="1:21" ht="18" customHeight="1">
      <c r="A194" s="11">
        <v>192</v>
      </c>
      <c r="B194" s="19" t="s">
        <v>221</v>
      </c>
      <c r="C194" s="19" t="s">
        <v>205</v>
      </c>
      <c r="D194" s="21"/>
      <c r="E194" s="28"/>
      <c r="F194" s="23"/>
      <c r="G194" s="25">
        <v>64</v>
      </c>
      <c r="H194" s="23"/>
      <c r="I194" s="23"/>
      <c r="J194" s="30">
        <v>4.5</v>
      </c>
      <c r="K194" s="16">
        <f t="shared" si="8"/>
        <v>36</v>
      </c>
      <c r="L194" s="17">
        <v>7</v>
      </c>
      <c r="M194" s="16">
        <f t="shared" si="9"/>
        <v>84</v>
      </c>
      <c r="N194" s="16">
        <f t="shared" si="10"/>
        <v>28</v>
      </c>
      <c r="O194" s="16">
        <f t="shared" si="11"/>
        <v>148</v>
      </c>
      <c r="P194" s="25"/>
      <c r="Q194" s="33"/>
      <c r="R194" s="23"/>
      <c r="S194" s="28"/>
      <c r="T194" s="34"/>
      <c r="U194" s="34"/>
    </row>
    <row r="195" spans="1:21" ht="18" customHeight="1">
      <c r="A195" s="11">
        <v>193</v>
      </c>
      <c r="B195" s="19" t="s">
        <v>222</v>
      </c>
      <c r="C195" s="19" t="s">
        <v>205</v>
      </c>
      <c r="D195" s="21"/>
      <c r="E195" s="28"/>
      <c r="F195" s="23"/>
      <c r="G195" s="25">
        <v>40</v>
      </c>
      <c r="H195" s="23"/>
      <c r="I195" s="23"/>
      <c r="J195" s="30">
        <v>5</v>
      </c>
      <c r="K195" s="16">
        <f t="shared" si="8"/>
        <v>40</v>
      </c>
      <c r="L195" s="17">
        <v>8</v>
      </c>
      <c r="M195" s="16">
        <f t="shared" si="9"/>
        <v>96</v>
      </c>
      <c r="N195" s="16">
        <f t="shared" si="10"/>
        <v>32</v>
      </c>
      <c r="O195" s="16">
        <f t="shared" si="11"/>
        <v>168</v>
      </c>
      <c r="P195" s="25"/>
      <c r="Q195" s="33"/>
      <c r="R195" s="23"/>
      <c r="S195" s="28"/>
      <c r="T195" s="34"/>
      <c r="U195" s="34"/>
    </row>
    <row r="196" spans="1:21" ht="18" customHeight="1">
      <c r="A196" s="11">
        <v>194</v>
      </c>
      <c r="B196" s="11" t="s">
        <v>223</v>
      </c>
      <c r="C196" s="19" t="s">
        <v>205</v>
      </c>
      <c r="D196" s="12"/>
      <c r="E196" s="13"/>
      <c r="F196" s="23"/>
      <c r="G196" s="14">
        <v>72</v>
      </c>
      <c r="H196" s="13"/>
      <c r="I196" s="13"/>
      <c r="J196" s="30">
        <v>5</v>
      </c>
      <c r="K196" s="16">
        <f t="shared" si="8"/>
        <v>40</v>
      </c>
      <c r="L196" s="17">
        <v>3</v>
      </c>
      <c r="M196" s="16">
        <f t="shared" si="9"/>
        <v>36</v>
      </c>
      <c r="N196" s="16">
        <f t="shared" si="10"/>
        <v>12</v>
      </c>
      <c r="O196" s="16">
        <f t="shared" si="11"/>
        <v>88</v>
      </c>
      <c r="P196" s="25"/>
      <c r="Q196" s="33"/>
      <c r="R196" s="23"/>
      <c r="S196" s="28"/>
      <c r="T196" s="34"/>
      <c r="U196" s="11"/>
    </row>
    <row r="197" spans="1:21" ht="18" customHeight="1">
      <c r="A197" s="11">
        <v>195</v>
      </c>
      <c r="B197" s="11" t="s">
        <v>224</v>
      </c>
      <c r="C197" s="19" t="s">
        <v>205</v>
      </c>
      <c r="D197" s="12"/>
      <c r="E197" s="13"/>
      <c r="F197" s="23"/>
      <c r="G197" s="14">
        <v>8</v>
      </c>
      <c r="H197" s="13"/>
      <c r="I197" s="13"/>
      <c r="J197" s="30">
        <v>4.5</v>
      </c>
      <c r="K197" s="16">
        <f t="shared" si="8"/>
        <v>36</v>
      </c>
      <c r="L197" s="17">
        <v>7</v>
      </c>
      <c r="M197" s="16">
        <f t="shared" si="9"/>
        <v>84</v>
      </c>
      <c r="N197" s="16">
        <f t="shared" si="10"/>
        <v>28</v>
      </c>
      <c r="O197" s="16">
        <f t="shared" si="11"/>
        <v>148</v>
      </c>
      <c r="P197" s="25"/>
      <c r="Q197" s="33"/>
      <c r="R197" s="23"/>
      <c r="S197" s="28"/>
      <c r="T197" s="34"/>
      <c r="U197" s="11"/>
    </row>
    <row r="198" spans="1:21" ht="18" customHeight="1">
      <c r="A198" s="11">
        <v>196</v>
      </c>
      <c r="B198" s="19" t="s">
        <v>225</v>
      </c>
      <c r="C198" s="19" t="s">
        <v>205</v>
      </c>
      <c r="D198" s="21"/>
      <c r="E198" s="28"/>
      <c r="F198" s="23"/>
      <c r="G198" s="24">
        <v>8</v>
      </c>
      <c r="H198" s="39"/>
      <c r="I198" s="39"/>
      <c r="J198" s="30">
        <v>2</v>
      </c>
      <c r="K198" s="16">
        <f t="shared" si="8"/>
        <v>16</v>
      </c>
      <c r="L198" s="17">
        <v>2</v>
      </c>
      <c r="M198" s="16">
        <f t="shared" si="9"/>
        <v>24</v>
      </c>
      <c r="N198" s="16">
        <f t="shared" si="10"/>
        <v>8</v>
      </c>
      <c r="O198" s="16">
        <f t="shared" si="11"/>
        <v>48</v>
      </c>
      <c r="P198" s="25"/>
      <c r="Q198" s="33"/>
      <c r="R198" s="23"/>
      <c r="S198" s="28"/>
      <c r="T198" s="34"/>
      <c r="U198" s="34"/>
    </row>
    <row r="199" spans="1:21" ht="18" customHeight="1">
      <c r="A199" s="11">
        <v>197</v>
      </c>
      <c r="B199" s="19" t="s">
        <v>226</v>
      </c>
      <c r="C199" s="19" t="s">
        <v>205</v>
      </c>
      <c r="D199" s="21"/>
      <c r="E199" s="22"/>
      <c r="F199" s="13"/>
      <c r="G199" s="24">
        <v>32</v>
      </c>
      <c r="H199" s="22"/>
      <c r="I199" s="22"/>
      <c r="J199" s="30"/>
      <c r="K199" s="16"/>
      <c r="L199" s="17"/>
      <c r="M199" s="16"/>
      <c r="N199" s="16"/>
      <c r="O199" s="16"/>
      <c r="P199" s="25"/>
      <c r="Q199" s="33"/>
      <c r="R199" s="23"/>
      <c r="S199" s="28"/>
      <c r="T199" s="34"/>
      <c r="U199" s="23"/>
    </row>
    <row r="200" spans="1:21" ht="18" customHeight="1">
      <c r="A200" s="11">
        <v>198</v>
      </c>
      <c r="B200" s="19" t="s">
        <v>227</v>
      </c>
      <c r="C200" s="19" t="s">
        <v>205</v>
      </c>
      <c r="D200" s="21"/>
      <c r="E200" s="22"/>
      <c r="F200" s="13"/>
      <c r="G200" s="24">
        <v>112</v>
      </c>
      <c r="H200" s="22"/>
      <c r="I200" s="22"/>
      <c r="J200" s="30">
        <v>2.5</v>
      </c>
      <c r="K200" s="16">
        <f t="shared" si="8"/>
        <v>20</v>
      </c>
      <c r="L200" s="17">
        <v>3</v>
      </c>
      <c r="M200" s="16">
        <f t="shared" si="9"/>
        <v>36</v>
      </c>
      <c r="N200" s="16">
        <f t="shared" si="10"/>
        <v>12</v>
      </c>
      <c r="O200" s="16">
        <f t="shared" si="11"/>
        <v>68</v>
      </c>
      <c r="P200" s="25"/>
      <c r="Q200" s="33"/>
      <c r="R200" s="23"/>
      <c r="S200" s="28"/>
      <c r="T200" s="34"/>
      <c r="U200" s="23"/>
    </row>
    <row r="201" spans="1:21" ht="18" customHeight="1">
      <c r="A201" s="11">
        <v>199</v>
      </c>
      <c r="B201" s="19" t="s">
        <v>228</v>
      </c>
      <c r="C201" s="19" t="s">
        <v>205</v>
      </c>
      <c r="D201" s="43"/>
      <c r="E201" s="22"/>
      <c r="F201" s="23"/>
      <c r="G201" s="24">
        <v>8</v>
      </c>
      <c r="H201" s="22"/>
      <c r="I201" s="22"/>
      <c r="J201" s="30">
        <v>5.5</v>
      </c>
      <c r="K201" s="16">
        <f t="shared" ref="K201:K205" si="12">J201*8</f>
        <v>44</v>
      </c>
      <c r="L201" s="17">
        <v>7</v>
      </c>
      <c r="M201" s="16">
        <f t="shared" ref="M201:M205" si="13">L201*12</f>
        <v>84</v>
      </c>
      <c r="N201" s="16">
        <f t="shared" ref="N201:N205" si="14">L201*4</f>
        <v>28</v>
      </c>
      <c r="O201" s="16">
        <f t="shared" ref="O201:O205" si="15">N201+M201+K201</f>
        <v>156</v>
      </c>
      <c r="P201" s="25"/>
      <c r="Q201" s="33"/>
      <c r="R201" s="23"/>
      <c r="S201" s="28"/>
      <c r="T201" s="34"/>
      <c r="U201" s="23"/>
    </row>
    <row r="202" spans="1:21" ht="18" customHeight="1">
      <c r="A202" s="11">
        <v>200</v>
      </c>
      <c r="B202" s="19" t="s">
        <v>229</v>
      </c>
      <c r="C202" s="19" t="s">
        <v>205</v>
      </c>
      <c r="D202" s="43"/>
      <c r="E202" s="22"/>
      <c r="F202" s="23">
        <v>16</v>
      </c>
      <c r="G202" s="24">
        <v>8</v>
      </c>
      <c r="H202" s="22"/>
      <c r="I202" s="22"/>
      <c r="J202" s="30">
        <v>5</v>
      </c>
      <c r="K202" s="16">
        <f t="shared" si="12"/>
        <v>40</v>
      </c>
      <c r="L202" s="17">
        <v>8</v>
      </c>
      <c r="M202" s="16">
        <f t="shared" si="13"/>
        <v>96</v>
      </c>
      <c r="N202" s="16">
        <f t="shared" si="14"/>
        <v>32</v>
      </c>
      <c r="O202" s="16">
        <f t="shared" si="15"/>
        <v>168</v>
      </c>
      <c r="P202" s="25"/>
      <c r="Q202" s="33"/>
      <c r="R202" s="23"/>
      <c r="S202" s="28"/>
      <c r="T202" s="34"/>
      <c r="U202" s="23"/>
    </row>
    <row r="203" spans="1:21" ht="18" customHeight="1">
      <c r="A203" s="11">
        <v>201</v>
      </c>
      <c r="B203" s="19" t="s">
        <v>230</v>
      </c>
      <c r="C203" s="19" t="s">
        <v>205</v>
      </c>
      <c r="D203" s="43"/>
      <c r="E203" s="22"/>
      <c r="F203" s="23">
        <v>16</v>
      </c>
      <c r="G203" s="24">
        <v>16</v>
      </c>
      <c r="H203" s="22"/>
      <c r="I203" s="22"/>
      <c r="J203" s="30">
        <v>3</v>
      </c>
      <c r="K203" s="16">
        <f t="shared" si="12"/>
        <v>24</v>
      </c>
      <c r="L203" s="17">
        <v>8</v>
      </c>
      <c r="M203" s="16">
        <f t="shared" si="13"/>
        <v>96</v>
      </c>
      <c r="N203" s="16">
        <f t="shared" si="14"/>
        <v>32</v>
      </c>
      <c r="O203" s="16">
        <f t="shared" si="15"/>
        <v>152</v>
      </c>
      <c r="P203" s="25"/>
      <c r="Q203" s="33"/>
      <c r="R203" s="23"/>
      <c r="S203" s="28"/>
      <c r="T203" s="34"/>
      <c r="U203" s="23"/>
    </row>
    <row r="204" spans="1:21" ht="18" customHeight="1">
      <c r="A204" s="11">
        <v>202</v>
      </c>
      <c r="B204" s="19" t="s">
        <v>231</v>
      </c>
      <c r="C204" s="19" t="s">
        <v>205</v>
      </c>
      <c r="D204" s="43"/>
      <c r="E204" s="22"/>
      <c r="F204" s="23">
        <v>16</v>
      </c>
      <c r="G204" s="24">
        <v>16</v>
      </c>
      <c r="H204" s="22"/>
      <c r="I204" s="22"/>
      <c r="J204" s="30">
        <v>2.5</v>
      </c>
      <c r="K204" s="16">
        <f t="shared" si="12"/>
        <v>20</v>
      </c>
      <c r="L204" s="17">
        <v>5</v>
      </c>
      <c r="M204" s="16">
        <f t="shared" si="13"/>
        <v>60</v>
      </c>
      <c r="N204" s="16">
        <f t="shared" si="14"/>
        <v>20</v>
      </c>
      <c r="O204" s="16">
        <f t="shared" si="15"/>
        <v>100</v>
      </c>
      <c r="P204" s="25"/>
      <c r="Q204" s="33"/>
      <c r="R204" s="23"/>
      <c r="S204" s="28"/>
      <c r="T204" s="34"/>
      <c r="U204" s="23"/>
    </row>
    <row r="205" spans="1:21" s="1" customFormat="1" ht="18" customHeight="1">
      <c r="A205" s="11">
        <v>203</v>
      </c>
      <c r="B205" s="42" t="s">
        <v>232</v>
      </c>
      <c r="C205" s="19" t="s">
        <v>205</v>
      </c>
      <c r="D205" s="43"/>
      <c r="E205" s="28"/>
      <c r="F205" s="23">
        <v>16</v>
      </c>
      <c r="G205" s="24">
        <v>16</v>
      </c>
      <c r="H205" s="39"/>
      <c r="I205" s="39"/>
      <c r="J205" s="30">
        <v>3</v>
      </c>
      <c r="K205" s="16">
        <f t="shared" si="12"/>
        <v>24</v>
      </c>
      <c r="L205" s="17">
        <v>6</v>
      </c>
      <c r="M205" s="16">
        <f t="shared" si="13"/>
        <v>72</v>
      </c>
      <c r="N205" s="16">
        <f t="shared" si="14"/>
        <v>24</v>
      </c>
      <c r="O205" s="16">
        <f t="shared" si="15"/>
        <v>120</v>
      </c>
      <c r="P205" s="25"/>
      <c r="Q205" s="33"/>
      <c r="R205" s="23"/>
      <c r="S205" s="28"/>
      <c r="T205" s="34"/>
      <c r="U205" s="34"/>
    </row>
    <row r="206" spans="1:21" ht="18" customHeight="1">
      <c r="A206" s="11">
        <v>204</v>
      </c>
      <c r="B206" s="42" t="s">
        <v>233</v>
      </c>
      <c r="C206" s="19" t="s">
        <v>205</v>
      </c>
      <c r="D206" s="43"/>
      <c r="E206" s="28"/>
      <c r="F206" s="23">
        <v>16</v>
      </c>
      <c r="G206" s="24">
        <v>72</v>
      </c>
      <c r="H206" s="39"/>
      <c r="I206" s="39"/>
      <c r="J206" s="30"/>
      <c r="K206" s="16"/>
      <c r="L206" s="17"/>
      <c r="M206" s="16"/>
      <c r="N206" s="16"/>
      <c r="O206" s="16"/>
      <c r="P206" s="25"/>
      <c r="Q206" s="33"/>
      <c r="R206" s="23"/>
      <c r="S206" s="28"/>
      <c r="T206" s="34"/>
      <c r="U206" s="34"/>
    </row>
  </sheetData>
  <mergeCells count="1">
    <mergeCell ref="A1:U1"/>
  </mergeCells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94"/>
  <sheetViews>
    <sheetView workbookViewId="0">
      <pane xSplit="2" ySplit="2" topLeftCell="C110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21" customHeight="1"/>
  <cols>
    <col min="1" max="1" width="4.375" style="1" customWidth="1"/>
    <col min="2" max="2" width="9.125" style="1" customWidth="1"/>
    <col min="3" max="3" width="11.875" style="70" customWidth="1"/>
    <col min="4" max="5" width="6.75" style="69" customWidth="1"/>
    <col min="6" max="6" width="6.625" style="75" customWidth="1"/>
    <col min="7" max="7" width="5.875" style="69" customWidth="1"/>
    <col min="8" max="8" width="9.25" style="69" customWidth="1"/>
    <col min="9" max="9" width="6.625" style="78" customWidth="1"/>
    <col min="10" max="10" width="9" style="1" customWidth="1"/>
    <col min="11" max="11" width="6.5" style="69" customWidth="1"/>
    <col min="12" max="13" width="9" style="1" customWidth="1"/>
    <col min="14" max="14" width="8" style="1" customWidth="1"/>
    <col min="15" max="16" width="8.625" style="76" customWidth="1"/>
    <col min="17" max="18" width="8.625" style="77" customWidth="1"/>
    <col min="19" max="19" width="8.625" style="69" customWidth="1"/>
    <col min="20" max="16384" width="9" style="1"/>
  </cols>
  <sheetData>
    <row r="1" spans="1:21" ht="28.5" customHeight="1">
      <c r="A1" s="98" t="s">
        <v>434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</row>
    <row r="2" spans="1:21" ht="28.5" customHeight="1">
      <c r="A2" s="34" t="s">
        <v>234</v>
      </c>
      <c r="B2" s="34" t="s">
        <v>1</v>
      </c>
      <c r="C2" s="54" t="s">
        <v>235</v>
      </c>
      <c r="D2" s="4" t="s">
        <v>4</v>
      </c>
      <c r="E2" s="5" t="s">
        <v>5</v>
      </c>
      <c r="F2" s="6" t="s">
        <v>236</v>
      </c>
      <c r="G2" s="4" t="s">
        <v>7</v>
      </c>
      <c r="H2" s="55" t="s">
        <v>8</v>
      </c>
      <c r="I2" s="56" t="s">
        <v>9</v>
      </c>
      <c r="J2" s="16" t="s">
        <v>10</v>
      </c>
      <c r="K2" s="55" t="s">
        <v>11</v>
      </c>
      <c r="L2" s="57" t="s">
        <v>12</v>
      </c>
      <c r="M2" s="57" t="s">
        <v>13</v>
      </c>
      <c r="N2" s="57" t="s">
        <v>14</v>
      </c>
      <c r="O2" s="58" t="s">
        <v>15</v>
      </c>
      <c r="P2" s="58" t="s">
        <v>16</v>
      </c>
      <c r="Q2" s="59" t="s">
        <v>17</v>
      </c>
      <c r="R2" s="59" t="s">
        <v>18</v>
      </c>
      <c r="S2" s="60" t="s">
        <v>19</v>
      </c>
      <c r="T2" s="32" t="s">
        <v>20</v>
      </c>
    </row>
    <row r="3" spans="1:21" ht="21" customHeight="1">
      <c r="A3" s="34">
        <v>1</v>
      </c>
      <c r="B3" s="34" t="s">
        <v>237</v>
      </c>
      <c r="C3" s="54"/>
      <c r="D3" s="28"/>
      <c r="E3" s="28"/>
      <c r="F3" s="25"/>
      <c r="G3" s="28"/>
      <c r="H3" s="28"/>
      <c r="I3" s="61"/>
      <c r="J3" s="62"/>
      <c r="K3" s="28"/>
      <c r="L3" s="62"/>
      <c r="M3" s="62"/>
      <c r="N3" s="62"/>
      <c r="O3" s="25"/>
      <c r="P3" s="25"/>
      <c r="Q3" s="23"/>
      <c r="R3" s="23"/>
      <c r="S3" s="23"/>
      <c r="T3" s="32"/>
    </row>
    <row r="4" spans="1:21" ht="21" customHeight="1">
      <c r="A4" s="63" t="s">
        <v>238</v>
      </c>
      <c r="B4" s="64"/>
      <c r="C4" s="65"/>
      <c r="D4" s="28"/>
      <c r="E4" s="28"/>
      <c r="F4" s="25"/>
      <c r="G4" s="28"/>
      <c r="H4" s="28"/>
      <c r="I4" s="61"/>
      <c r="J4" s="62"/>
      <c r="K4" s="28"/>
      <c r="L4" s="62"/>
      <c r="M4" s="62"/>
      <c r="N4" s="62"/>
      <c r="O4" s="25"/>
      <c r="P4" s="25"/>
      <c r="Q4" s="23"/>
      <c r="R4" s="23"/>
      <c r="S4" s="23"/>
      <c r="T4" s="32"/>
    </row>
    <row r="5" spans="1:21" ht="21" customHeight="1">
      <c r="A5" s="34">
        <v>1</v>
      </c>
      <c r="B5" s="34" t="s">
        <v>239</v>
      </c>
      <c r="C5" s="54">
        <v>6</v>
      </c>
      <c r="D5" s="28"/>
      <c r="E5" s="28"/>
      <c r="F5" s="25">
        <v>8</v>
      </c>
      <c r="G5" s="28"/>
      <c r="H5" s="28"/>
      <c r="I5" s="61"/>
      <c r="J5" s="62"/>
      <c r="K5" s="28"/>
      <c r="L5" s="62"/>
      <c r="M5" s="62"/>
      <c r="N5" s="62"/>
      <c r="O5" s="25"/>
      <c r="P5" s="25"/>
      <c r="Q5" s="23"/>
      <c r="R5" s="23"/>
      <c r="S5" s="23"/>
      <c r="T5" s="32"/>
    </row>
    <row r="6" spans="1:21" ht="21" customHeight="1">
      <c r="A6" s="34">
        <v>2</v>
      </c>
      <c r="B6" s="34" t="s">
        <v>240</v>
      </c>
      <c r="C6" s="66"/>
      <c r="D6" s="28"/>
      <c r="E6" s="28"/>
      <c r="F6" s="25">
        <v>16</v>
      </c>
      <c r="G6" s="28"/>
      <c r="H6" s="28"/>
      <c r="I6" s="61"/>
      <c r="J6" s="62"/>
      <c r="K6" s="28"/>
      <c r="L6" s="62"/>
      <c r="M6" s="62"/>
      <c r="N6" s="62"/>
      <c r="O6" s="25"/>
      <c r="P6" s="25"/>
      <c r="Q6" s="23"/>
      <c r="R6" s="23"/>
      <c r="S6" s="23"/>
      <c r="T6" s="32"/>
    </row>
    <row r="7" spans="1:21" ht="21" customHeight="1">
      <c r="A7" s="34">
        <v>3</v>
      </c>
      <c r="B7" s="34" t="s">
        <v>241</v>
      </c>
      <c r="C7" s="54">
        <v>1.5</v>
      </c>
      <c r="D7" s="28"/>
      <c r="E7" s="28"/>
      <c r="F7" s="25">
        <v>8</v>
      </c>
      <c r="G7" s="28"/>
      <c r="H7" s="28"/>
      <c r="I7" s="61"/>
      <c r="J7" s="62"/>
      <c r="K7" s="28"/>
      <c r="L7" s="62"/>
      <c r="M7" s="62"/>
      <c r="N7" s="62"/>
      <c r="O7" s="25"/>
      <c r="P7" s="25"/>
      <c r="Q7" s="23"/>
      <c r="R7" s="23"/>
      <c r="S7" s="23"/>
      <c r="T7" s="32"/>
    </row>
    <row r="8" spans="1:21" ht="21" customHeight="1">
      <c r="A8" s="34">
        <v>4</v>
      </c>
      <c r="B8" s="34" t="s">
        <v>242</v>
      </c>
      <c r="C8" s="54">
        <v>28</v>
      </c>
      <c r="D8" s="28"/>
      <c r="E8" s="28"/>
      <c r="F8" s="25"/>
      <c r="G8" s="28"/>
      <c r="H8" s="28"/>
      <c r="I8" s="61"/>
      <c r="J8" s="62"/>
      <c r="K8" s="28"/>
      <c r="L8" s="62"/>
      <c r="M8" s="62"/>
      <c r="N8" s="62"/>
      <c r="O8" s="25"/>
      <c r="P8" s="25"/>
      <c r="Q8" s="23"/>
      <c r="R8" s="23"/>
      <c r="S8" s="23"/>
      <c r="T8" s="32"/>
    </row>
    <row r="9" spans="1:21" ht="21" customHeight="1">
      <c r="A9" s="34">
        <v>5</v>
      </c>
      <c r="B9" s="34" t="s">
        <v>243</v>
      </c>
      <c r="C9" s="54">
        <v>24.5</v>
      </c>
      <c r="D9" s="28"/>
      <c r="E9" s="28"/>
      <c r="F9" s="25"/>
      <c r="G9" s="28"/>
      <c r="H9" s="28"/>
      <c r="I9" s="61"/>
      <c r="J9" s="62"/>
      <c r="K9" s="28"/>
      <c r="L9" s="62"/>
      <c r="M9" s="62"/>
      <c r="N9" s="62"/>
      <c r="O9" s="25"/>
      <c r="P9" s="25"/>
      <c r="Q9" s="23"/>
      <c r="R9" s="23"/>
      <c r="S9" s="23"/>
      <c r="T9" s="35"/>
    </row>
    <row r="10" spans="1:21" ht="21" customHeight="1">
      <c r="A10" s="34">
        <v>6</v>
      </c>
      <c r="B10" s="34" t="s">
        <v>244</v>
      </c>
      <c r="C10" s="54"/>
      <c r="D10" s="28"/>
      <c r="E10" s="28"/>
      <c r="F10" s="25">
        <v>7</v>
      </c>
      <c r="G10" s="28"/>
      <c r="H10" s="28"/>
      <c r="I10" s="61"/>
      <c r="J10" s="62"/>
      <c r="K10" s="28"/>
      <c r="L10" s="62"/>
      <c r="M10" s="62"/>
      <c r="N10" s="62"/>
      <c r="O10" s="25"/>
      <c r="P10" s="25"/>
      <c r="Q10" s="23"/>
      <c r="R10" s="23"/>
      <c r="S10" s="23"/>
      <c r="T10" s="35"/>
    </row>
    <row r="11" spans="1:21" ht="21" customHeight="1">
      <c r="A11" s="63" t="s">
        <v>245</v>
      </c>
      <c r="B11" s="64"/>
      <c r="C11" s="65"/>
      <c r="D11" s="28"/>
      <c r="E11" s="28"/>
      <c r="F11" s="25"/>
      <c r="G11" s="28"/>
      <c r="H11" s="28"/>
      <c r="I11" s="61"/>
      <c r="J11" s="62"/>
      <c r="K11" s="28"/>
      <c r="L11" s="62"/>
      <c r="M11" s="62"/>
      <c r="N11" s="62"/>
      <c r="O11" s="25"/>
      <c r="P11" s="25"/>
      <c r="Q11" s="23"/>
      <c r="R11" s="23"/>
      <c r="S11" s="23"/>
      <c r="T11" s="32"/>
    </row>
    <row r="12" spans="1:21" ht="21" customHeight="1">
      <c r="A12" s="34">
        <v>1</v>
      </c>
      <c r="B12" s="34" t="s">
        <v>246</v>
      </c>
      <c r="C12" s="54"/>
      <c r="D12" s="28"/>
      <c r="E12" s="28"/>
      <c r="F12" s="25"/>
      <c r="G12" s="28"/>
      <c r="H12" s="28"/>
      <c r="I12" s="61"/>
      <c r="J12" s="62"/>
      <c r="K12" s="28"/>
      <c r="L12" s="62"/>
      <c r="M12" s="62"/>
      <c r="N12" s="62"/>
      <c r="O12" s="25"/>
      <c r="P12" s="25"/>
      <c r="Q12" s="23"/>
      <c r="R12" s="23"/>
      <c r="S12" s="23"/>
      <c r="T12" s="32"/>
    </row>
    <row r="13" spans="1:21" ht="21" customHeight="1">
      <c r="A13" s="34">
        <v>2</v>
      </c>
      <c r="B13" s="34" t="s">
        <v>247</v>
      </c>
      <c r="C13" s="54"/>
      <c r="D13" s="28"/>
      <c r="E13" s="28"/>
      <c r="F13" s="25"/>
      <c r="G13" s="28"/>
      <c r="H13" s="28"/>
      <c r="I13" s="61"/>
      <c r="J13" s="62"/>
      <c r="K13" s="28"/>
      <c r="L13" s="62"/>
      <c r="M13" s="62"/>
      <c r="N13" s="62"/>
      <c r="O13" s="25"/>
      <c r="P13" s="25"/>
      <c r="Q13" s="23"/>
      <c r="R13" s="23"/>
      <c r="S13" s="23"/>
      <c r="T13" s="32"/>
    </row>
    <row r="14" spans="1:21" ht="21" customHeight="1">
      <c r="A14" s="34">
        <v>3</v>
      </c>
      <c r="B14" s="34" t="s">
        <v>248</v>
      </c>
      <c r="C14" s="54" t="s">
        <v>433</v>
      </c>
      <c r="D14" s="28"/>
      <c r="E14" s="28"/>
      <c r="F14" s="25">
        <v>0.5</v>
      </c>
      <c r="G14" s="28"/>
      <c r="H14" s="28"/>
      <c r="I14" s="61"/>
      <c r="J14" s="62"/>
      <c r="K14" s="28"/>
      <c r="L14" s="62"/>
      <c r="M14" s="62"/>
      <c r="N14" s="62"/>
      <c r="O14" s="25"/>
      <c r="P14" s="25"/>
      <c r="Q14" s="23"/>
      <c r="R14" s="23"/>
      <c r="S14" s="23"/>
      <c r="T14" s="32"/>
    </row>
    <row r="15" spans="1:21" ht="21" customHeight="1">
      <c r="A15" s="34">
        <v>4</v>
      </c>
      <c r="B15" s="34" t="s">
        <v>249</v>
      </c>
      <c r="C15" s="66"/>
      <c r="D15" s="28"/>
      <c r="E15" s="28"/>
      <c r="F15" s="25">
        <v>13</v>
      </c>
      <c r="G15" s="28"/>
      <c r="H15" s="23"/>
      <c r="I15" s="61"/>
      <c r="J15" s="62"/>
      <c r="K15" s="28"/>
      <c r="L15" s="62"/>
      <c r="M15" s="62"/>
      <c r="N15" s="62"/>
      <c r="O15" s="25"/>
      <c r="P15" s="25"/>
      <c r="Q15" s="23"/>
      <c r="R15" s="23"/>
      <c r="S15" s="23"/>
      <c r="T15" s="32"/>
    </row>
    <row r="16" spans="1:21" ht="21" customHeight="1">
      <c r="A16" s="34">
        <v>5</v>
      </c>
      <c r="B16" s="34" t="s">
        <v>250</v>
      </c>
      <c r="C16" s="66">
        <v>4</v>
      </c>
      <c r="D16" s="28"/>
      <c r="E16" s="28">
        <v>6</v>
      </c>
      <c r="F16" s="25"/>
      <c r="G16" s="28">
        <v>10</v>
      </c>
      <c r="H16" s="23"/>
      <c r="I16" s="61"/>
      <c r="J16" s="62"/>
      <c r="K16" s="28"/>
      <c r="L16" s="62"/>
      <c r="M16" s="62"/>
      <c r="N16" s="62"/>
      <c r="O16" s="25"/>
      <c r="P16" s="25"/>
      <c r="Q16" s="23"/>
      <c r="R16" s="23"/>
      <c r="S16" s="23"/>
      <c r="T16" s="32"/>
    </row>
    <row r="17" spans="1:20" ht="21" customHeight="1">
      <c r="A17" s="34">
        <v>6</v>
      </c>
      <c r="B17" s="34" t="s">
        <v>251</v>
      </c>
      <c r="C17" s="66"/>
      <c r="D17" s="28"/>
      <c r="E17" s="28"/>
      <c r="F17" s="25"/>
      <c r="G17" s="28">
        <v>6.5</v>
      </c>
      <c r="H17" s="23"/>
      <c r="I17" s="61"/>
      <c r="J17" s="62"/>
      <c r="K17" s="28"/>
      <c r="L17" s="62"/>
      <c r="M17" s="62"/>
      <c r="N17" s="62"/>
      <c r="O17" s="25"/>
      <c r="P17" s="25"/>
      <c r="Q17" s="23"/>
      <c r="R17" s="23"/>
      <c r="S17" s="23"/>
      <c r="T17" s="32"/>
    </row>
    <row r="18" spans="1:20" ht="21" customHeight="1">
      <c r="A18" s="63" t="s">
        <v>252</v>
      </c>
      <c r="B18" s="64"/>
      <c r="C18" s="65"/>
      <c r="D18" s="28"/>
      <c r="E18" s="28"/>
      <c r="F18" s="25"/>
      <c r="G18" s="28"/>
      <c r="H18" s="28"/>
      <c r="I18" s="61"/>
      <c r="J18" s="62"/>
      <c r="K18" s="28"/>
      <c r="L18" s="62"/>
      <c r="M18" s="62"/>
      <c r="N18" s="62"/>
      <c r="O18" s="25"/>
      <c r="P18" s="25"/>
      <c r="Q18" s="23"/>
      <c r="R18" s="23"/>
      <c r="S18" s="23"/>
      <c r="T18" s="32"/>
    </row>
    <row r="19" spans="1:20" ht="21" customHeight="1">
      <c r="A19" s="34">
        <v>1</v>
      </c>
      <c r="B19" s="34" t="s">
        <v>253</v>
      </c>
      <c r="C19" s="36" t="s">
        <v>432</v>
      </c>
      <c r="D19" s="23"/>
      <c r="E19" s="23"/>
      <c r="F19" s="25"/>
      <c r="G19" s="23"/>
      <c r="H19" s="23"/>
      <c r="I19" s="61"/>
      <c r="J19" s="62"/>
      <c r="K19" s="23"/>
      <c r="L19" s="62"/>
      <c r="M19" s="62"/>
      <c r="N19" s="62"/>
      <c r="O19" s="67"/>
      <c r="P19" s="67"/>
      <c r="Q19" s="68"/>
      <c r="R19" s="68"/>
      <c r="S19" s="23"/>
      <c r="T19" s="34"/>
    </row>
    <row r="20" spans="1:20" ht="21" customHeight="1">
      <c r="A20" s="63" t="s">
        <v>254</v>
      </c>
      <c r="B20" s="64"/>
      <c r="C20" s="65"/>
      <c r="D20" s="23"/>
      <c r="E20" s="23"/>
      <c r="F20" s="25"/>
      <c r="G20" s="23"/>
      <c r="H20" s="23"/>
      <c r="I20" s="61"/>
      <c r="J20" s="62"/>
      <c r="K20" s="23"/>
      <c r="L20" s="62"/>
      <c r="M20" s="62"/>
      <c r="N20" s="62"/>
      <c r="O20" s="67"/>
      <c r="P20" s="67"/>
      <c r="Q20" s="68"/>
      <c r="R20" s="68"/>
      <c r="S20" s="23"/>
      <c r="T20" s="34"/>
    </row>
    <row r="21" spans="1:20" ht="21" customHeight="1">
      <c r="A21" s="34">
        <v>1</v>
      </c>
      <c r="B21" s="34" t="s">
        <v>255</v>
      </c>
      <c r="C21" s="54" t="s">
        <v>431</v>
      </c>
      <c r="D21" s="28"/>
      <c r="E21" s="28"/>
      <c r="F21" s="25"/>
      <c r="G21" s="28"/>
      <c r="H21" s="28"/>
      <c r="I21" s="61"/>
      <c r="J21" s="62"/>
      <c r="K21" s="28"/>
      <c r="L21" s="62"/>
      <c r="M21" s="62"/>
      <c r="N21" s="62"/>
      <c r="O21" s="25"/>
      <c r="P21" s="25"/>
      <c r="Q21" s="23"/>
      <c r="R21" s="23"/>
      <c r="S21" s="23"/>
      <c r="T21" s="32"/>
    </row>
    <row r="22" spans="1:20" ht="21" customHeight="1">
      <c r="A22" s="34">
        <v>2</v>
      </c>
      <c r="B22" s="34" t="s">
        <v>256</v>
      </c>
      <c r="C22" s="54"/>
      <c r="D22" s="28"/>
      <c r="E22" s="28"/>
      <c r="F22" s="25"/>
      <c r="G22" s="28"/>
      <c r="H22" s="28"/>
      <c r="I22" s="61"/>
      <c r="J22" s="62"/>
      <c r="K22" s="28"/>
      <c r="L22" s="62"/>
      <c r="M22" s="62"/>
      <c r="N22" s="62"/>
      <c r="O22" s="25"/>
      <c r="P22" s="25"/>
      <c r="Q22" s="23"/>
      <c r="R22" s="23"/>
      <c r="S22" s="23"/>
      <c r="T22" s="32"/>
    </row>
    <row r="23" spans="1:20" ht="21" customHeight="1">
      <c r="A23" s="34">
        <v>3</v>
      </c>
      <c r="B23" s="34" t="s">
        <v>257</v>
      </c>
      <c r="C23" s="54">
        <v>8</v>
      </c>
      <c r="D23" s="28"/>
      <c r="E23" s="28"/>
      <c r="F23" s="25"/>
      <c r="G23" s="69">
        <v>30</v>
      </c>
      <c r="H23" s="28"/>
      <c r="I23" s="61"/>
      <c r="J23" s="62"/>
      <c r="K23" s="28"/>
      <c r="L23" s="62"/>
      <c r="M23" s="62"/>
      <c r="N23" s="62"/>
      <c r="O23" s="25"/>
      <c r="P23" s="25"/>
      <c r="Q23" s="23"/>
      <c r="R23" s="23"/>
      <c r="S23" s="23"/>
      <c r="T23" s="32"/>
    </row>
    <row r="24" spans="1:20" ht="21" customHeight="1">
      <c r="A24" s="34">
        <v>4</v>
      </c>
      <c r="B24" s="34" t="s">
        <v>258</v>
      </c>
      <c r="C24" s="54"/>
      <c r="D24" s="28"/>
      <c r="E24" s="28"/>
      <c r="F24" s="25">
        <v>2</v>
      </c>
      <c r="G24" s="28"/>
      <c r="H24" s="28"/>
      <c r="I24" s="61"/>
      <c r="J24" s="62"/>
      <c r="K24" s="28"/>
      <c r="L24" s="62"/>
      <c r="M24" s="62"/>
      <c r="N24" s="62"/>
      <c r="O24" s="25"/>
      <c r="P24" s="25"/>
      <c r="Q24" s="23"/>
      <c r="R24" s="23"/>
      <c r="S24" s="23"/>
      <c r="T24" s="32"/>
    </row>
    <row r="25" spans="1:20" ht="21" customHeight="1">
      <c r="A25" s="34">
        <v>5</v>
      </c>
      <c r="B25" s="34" t="s">
        <v>259</v>
      </c>
      <c r="C25" s="54"/>
      <c r="D25" s="28"/>
      <c r="E25" s="28"/>
      <c r="F25" s="25">
        <v>16</v>
      </c>
      <c r="G25" s="28"/>
      <c r="H25" s="28"/>
      <c r="I25" s="61">
        <v>6</v>
      </c>
      <c r="J25" s="62">
        <f>I25*8</f>
        <v>48</v>
      </c>
      <c r="K25" s="23"/>
      <c r="L25" s="62"/>
      <c r="M25" s="62"/>
      <c r="N25" s="62">
        <f>M25+L25+J25</f>
        <v>48</v>
      </c>
      <c r="O25" s="25"/>
      <c r="P25" s="25"/>
      <c r="Q25" s="23"/>
      <c r="R25" s="23"/>
      <c r="S25" s="23"/>
      <c r="T25" s="32"/>
    </row>
    <row r="26" spans="1:20" ht="21" customHeight="1">
      <c r="A26" s="34">
        <v>6</v>
      </c>
      <c r="B26" s="34" t="s">
        <v>260</v>
      </c>
      <c r="C26" s="54"/>
      <c r="D26" s="28"/>
      <c r="E26" s="28"/>
      <c r="F26" s="25">
        <v>2</v>
      </c>
      <c r="G26" s="28"/>
      <c r="H26" s="28"/>
      <c r="I26" s="61"/>
      <c r="J26" s="62"/>
      <c r="K26" s="28"/>
      <c r="L26" s="62"/>
      <c r="M26" s="62"/>
      <c r="N26" s="62"/>
      <c r="O26" s="25"/>
      <c r="P26" s="25"/>
      <c r="Q26" s="23"/>
      <c r="R26" s="23"/>
      <c r="S26" s="23"/>
      <c r="T26" s="32"/>
    </row>
    <row r="27" spans="1:20" ht="21" customHeight="1">
      <c r="A27" s="34">
        <v>7</v>
      </c>
      <c r="B27" s="34" t="s">
        <v>261</v>
      </c>
      <c r="C27" s="54"/>
      <c r="D27" s="28"/>
      <c r="E27" s="28"/>
      <c r="F27" s="25"/>
      <c r="G27" s="28"/>
      <c r="H27" s="28"/>
      <c r="I27" s="61"/>
      <c r="J27" s="62"/>
      <c r="K27" s="28"/>
      <c r="L27" s="62"/>
      <c r="M27" s="62"/>
      <c r="N27" s="62"/>
      <c r="O27" s="25"/>
      <c r="P27" s="25"/>
      <c r="Q27" s="23"/>
      <c r="R27" s="23"/>
      <c r="S27" s="23"/>
      <c r="T27" s="32"/>
    </row>
    <row r="28" spans="1:20" ht="21" customHeight="1">
      <c r="A28" s="34">
        <v>8</v>
      </c>
      <c r="B28" s="34" t="s">
        <v>262</v>
      </c>
      <c r="C28" s="54" t="s">
        <v>431</v>
      </c>
      <c r="D28" s="28"/>
      <c r="E28" s="28"/>
      <c r="F28" s="25"/>
      <c r="G28" s="28"/>
      <c r="H28" s="28"/>
      <c r="I28" s="61"/>
      <c r="J28" s="62"/>
      <c r="K28" s="28"/>
      <c r="L28" s="62"/>
      <c r="M28" s="62"/>
      <c r="N28" s="62"/>
      <c r="O28" s="25"/>
      <c r="P28" s="25"/>
      <c r="Q28" s="23"/>
      <c r="R28" s="23"/>
      <c r="S28" s="23"/>
      <c r="T28" s="32"/>
    </row>
    <row r="29" spans="1:20" ht="21" customHeight="1">
      <c r="A29" s="34">
        <v>9</v>
      </c>
      <c r="B29" s="34" t="s">
        <v>263</v>
      </c>
      <c r="C29" s="54"/>
      <c r="D29" s="28"/>
      <c r="E29" s="28"/>
      <c r="F29" s="25"/>
      <c r="G29" s="28"/>
      <c r="H29" s="28"/>
      <c r="I29" s="61"/>
      <c r="J29" s="62"/>
      <c r="K29" s="28"/>
      <c r="L29" s="62"/>
      <c r="M29" s="62"/>
      <c r="N29" s="62"/>
      <c r="O29" s="25"/>
      <c r="P29" s="25"/>
      <c r="Q29" s="23"/>
      <c r="R29" s="23"/>
      <c r="S29" s="23"/>
      <c r="T29" s="32"/>
    </row>
    <row r="30" spans="1:20" ht="21" customHeight="1">
      <c r="A30" s="34">
        <v>10</v>
      </c>
      <c r="B30" s="34" t="s">
        <v>264</v>
      </c>
      <c r="C30" s="54"/>
      <c r="D30" s="28"/>
      <c r="E30" s="28"/>
      <c r="F30" s="25">
        <v>15.5</v>
      </c>
      <c r="H30" s="28"/>
      <c r="I30" s="61"/>
      <c r="J30" s="62"/>
      <c r="K30" s="28"/>
      <c r="L30" s="62"/>
      <c r="M30" s="62"/>
      <c r="N30" s="62"/>
      <c r="O30" s="25"/>
      <c r="P30" s="25"/>
      <c r="Q30" s="23"/>
      <c r="R30" s="23"/>
      <c r="S30" s="23"/>
      <c r="T30" s="32"/>
    </row>
    <row r="31" spans="1:20" ht="21" customHeight="1">
      <c r="A31" s="34">
        <v>11</v>
      </c>
      <c r="B31" s="34" t="s">
        <v>265</v>
      </c>
      <c r="C31" s="54"/>
      <c r="D31" s="28"/>
      <c r="E31" s="28"/>
      <c r="F31" s="25">
        <v>8</v>
      </c>
      <c r="G31" s="28"/>
      <c r="H31" s="28"/>
      <c r="I31" s="61">
        <v>15</v>
      </c>
      <c r="J31" s="62">
        <f>I31*8</f>
        <v>120</v>
      </c>
      <c r="K31" s="23"/>
      <c r="L31" s="62"/>
      <c r="M31" s="62"/>
      <c r="N31" s="62">
        <f>M31+L31+J31</f>
        <v>120</v>
      </c>
      <c r="O31" s="25"/>
      <c r="P31" s="25"/>
      <c r="Q31" s="23"/>
      <c r="R31" s="23"/>
      <c r="S31" s="23"/>
      <c r="T31" s="32"/>
    </row>
    <row r="32" spans="1:20" ht="21" customHeight="1">
      <c r="A32" s="34">
        <v>12</v>
      </c>
      <c r="B32" s="34" t="s">
        <v>266</v>
      </c>
      <c r="C32" s="54"/>
      <c r="D32" s="28"/>
      <c r="E32" s="28"/>
      <c r="F32" s="25"/>
      <c r="G32" s="28"/>
      <c r="H32" s="28"/>
      <c r="I32" s="61"/>
      <c r="J32" s="62"/>
      <c r="K32" s="28"/>
      <c r="L32" s="62"/>
      <c r="M32" s="62"/>
      <c r="N32" s="62"/>
      <c r="O32" s="25"/>
      <c r="P32" s="25"/>
      <c r="Q32" s="23"/>
      <c r="R32" s="23"/>
      <c r="S32" s="23"/>
      <c r="T32" s="32"/>
    </row>
    <row r="33" spans="1:20" ht="21" customHeight="1">
      <c r="A33" s="63" t="s">
        <v>267</v>
      </c>
      <c r="B33" s="64"/>
      <c r="C33" s="65"/>
      <c r="D33" s="28"/>
      <c r="E33" s="28"/>
      <c r="F33" s="25"/>
      <c r="G33" s="28"/>
      <c r="H33" s="28"/>
      <c r="I33" s="61"/>
      <c r="J33" s="62"/>
      <c r="K33" s="28"/>
      <c r="L33" s="62"/>
      <c r="M33" s="62"/>
      <c r="N33" s="62"/>
      <c r="O33" s="25"/>
      <c r="P33" s="25"/>
      <c r="Q33" s="23"/>
      <c r="R33" s="23"/>
      <c r="S33" s="23"/>
      <c r="T33" s="32"/>
    </row>
    <row r="34" spans="1:20" ht="21" customHeight="1">
      <c r="A34" s="34">
        <v>1</v>
      </c>
      <c r="B34" s="34" t="s">
        <v>268</v>
      </c>
      <c r="C34" s="54">
        <v>18</v>
      </c>
      <c r="D34" s="28"/>
      <c r="E34" s="28"/>
      <c r="F34" s="25"/>
      <c r="G34" s="28"/>
      <c r="H34" s="28"/>
      <c r="I34" s="61"/>
      <c r="J34" s="62"/>
      <c r="K34" s="28"/>
      <c r="L34" s="62"/>
      <c r="M34" s="62"/>
      <c r="N34" s="62"/>
      <c r="O34" s="25"/>
      <c r="P34" s="25"/>
      <c r="Q34" s="23"/>
      <c r="R34" s="23"/>
      <c r="S34" s="23"/>
      <c r="T34" s="32"/>
    </row>
    <row r="35" spans="1:20" ht="21" customHeight="1">
      <c r="A35" s="63" t="s">
        <v>269</v>
      </c>
      <c r="B35" s="64"/>
      <c r="C35" s="65"/>
      <c r="D35" s="28"/>
      <c r="E35" s="28"/>
      <c r="F35" s="25"/>
      <c r="G35" s="28"/>
      <c r="H35" s="28"/>
      <c r="I35" s="61"/>
      <c r="J35" s="62"/>
      <c r="K35" s="28"/>
      <c r="L35" s="62"/>
      <c r="M35" s="62"/>
      <c r="N35" s="62"/>
      <c r="O35" s="25"/>
      <c r="P35" s="25"/>
      <c r="Q35" s="23"/>
      <c r="R35" s="23"/>
      <c r="S35" s="23"/>
      <c r="T35" s="32"/>
    </row>
    <row r="36" spans="1:20" ht="21" customHeight="1">
      <c r="A36" s="34">
        <v>1</v>
      </c>
      <c r="B36" s="34" t="s">
        <v>270</v>
      </c>
      <c r="C36" s="36"/>
      <c r="D36" s="28"/>
      <c r="E36" s="28"/>
      <c r="F36" s="25"/>
      <c r="G36" s="28"/>
      <c r="H36" s="28"/>
      <c r="I36" s="61"/>
      <c r="J36" s="62"/>
      <c r="K36" s="28"/>
      <c r="L36" s="62"/>
      <c r="M36" s="62"/>
      <c r="N36" s="62"/>
      <c r="O36" s="25"/>
      <c r="P36" s="25"/>
      <c r="Q36" s="23"/>
      <c r="R36" s="23"/>
      <c r="S36" s="23"/>
      <c r="T36" s="32"/>
    </row>
    <row r="37" spans="1:20" ht="21" customHeight="1">
      <c r="A37" s="34">
        <v>2</v>
      </c>
      <c r="B37" s="34" t="s">
        <v>271</v>
      </c>
      <c r="C37" s="36"/>
      <c r="D37" s="28"/>
      <c r="E37" s="28"/>
      <c r="F37" s="25"/>
      <c r="G37" s="28"/>
      <c r="H37" s="28"/>
      <c r="I37" s="61"/>
      <c r="J37" s="62"/>
      <c r="K37" s="28"/>
      <c r="L37" s="62"/>
      <c r="M37" s="62"/>
      <c r="N37" s="62"/>
      <c r="O37" s="25"/>
      <c r="P37" s="25"/>
      <c r="Q37" s="23"/>
      <c r="R37" s="23"/>
      <c r="S37" s="23"/>
      <c r="T37" s="32"/>
    </row>
    <row r="38" spans="1:20" ht="21" customHeight="1">
      <c r="A38" s="34">
        <v>3</v>
      </c>
      <c r="B38" s="34" t="s">
        <v>272</v>
      </c>
      <c r="C38" s="36"/>
      <c r="D38" s="28"/>
      <c r="E38" s="28"/>
      <c r="F38" s="25">
        <v>16.5</v>
      </c>
      <c r="G38" s="28"/>
      <c r="H38" s="28"/>
      <c r="I38" s="61"/>
      <c r="J38" s="62"/>
      <c r="K38" s="28"/>
      <c r="L38" s="62"/>
      <c r="M38" s="62"/>
      <c r="N38" s="62"/>
      <c r="O38" s="25"/>
      <c r="P38" s="25"/>
      <c r="Q38" s="23"/>
      <c r="R38" s="23"/>
      <c r="S38" s="23"/>
      <c r="T38" s="32"/>
    </row>
    <row r="39" spans="1:20" ht="21" customHeight="1">
      <c r="A39" s="34">
        <v>4</v>
      </c>
      <c r="B39" s="34" t="s">
        <v>273</v>
      </c>
      <c r="C39" s="36"/>
      <c r="D39" s="28"/>
      <c r="E39" s="28"/>
      <c r="F39" s="25">
        <v>2.5</v>
      </c>
      <c r="G39" s="28"/>
      <c r="H39" s="28"/>
      <c r="I39" s="61"/>
      <c r="J39" s="62"/>
      <c r="K39" s="28"/>
      <c r="L39" s="62"/>
      <c r="M39" s="62"/>
      <c r="N39" s="62"/>
      <c r="O39" s="25"/>
      <c r="P39" s="25"/>
      <c r="Q39" s="23"/>
      <c r="R39" s="23"/>
      <c r="S39" s="23"/>
      <c r="T39" s="32"/>
    </row>
    <row r="40" spans="1:20" ht="21" customHeight="1">
      <c r="A40" s="63" t="s">
        <v>274</v>
      </c>
      <c r="B40" s="34"/>
      <c r="C40" s="36"/>
      <c r="D40" s="28"/>
      <c r="E40" s="28"/>
      <c r="F40" s="25"/>
      <c r="G40" s="28"/>
      <c r="H40" s="28"/>
      <c r="I40" s="61"/>
      <c r="J40" s="62"/>
      <c r="K40" s="28"/>
      <c r="L40" s="62"/>
      <c r="M40" s="62"/>
      <c r="N40" s="62"/>
      <c r="O40" s="25"/>
      <c r="P40" s="25"/>
      <c r="Q40" s="23"/>
      <c r="R40" s="23"/>
      <c r="S40" s="23"/>
      <c r="T40" s="32"/>
    </row>
    <row r="41" spans="1:20" ht="21" customHeight="1">
      <c r="A41" s="34">
        <v>1</v>
      </c>
      <c r="B41" s="34" t="s">
        <v>275</v>
      </c>
      <c r="C41" s="12"/>
      <c r="D41" s="28"/>
      <c r="E41" s="28"/>
      <c r="F41" s="25"/>
      <c r="G41" s="28"/>
      <c r="H41" s="28"/>
      <c r="I41" s="61"/>
      <c r="J41" s="62"/>
      <c r="K41" s="28"/>
      <c r="L41" s="62"/>
      <c r="M41" s="62"/>
      <c r="N41" s="62"/>
      <c r="O41" s="25"/>
      <c r="P41" s="25"/>
      <c r="Q41" s="23"/>
      <c r="R41" s="23"/>
      <c r="S41" s="23"/>
      <c r="T41" s="32"/>
    </row>
    <row r="42" spans="1:20" ht="21" customHeight="1">
      <c r="A42" s="34">
        <v>2</v>
      </c>
      <c r="B42" s="34" t="s">
        <v>276</v>
      </c>
      <c r="C42" s="36">
        <v>32</v>
      </c>
      <c r="D42" s="23"/>
      <c r="E42" s="23"/>
      <c r="F42" s="25"/>
      <c r="G42" s="28"/>
      <c r="H42" s="23"/>
      <c r="I42" s="61"/>
      <c r="J42" s="62"/>
      <c r="K42" s="28"/>
      <c r="L42" s="62"/>
      <c r="M42" s="62"/>
      <c r="N42" s="62"/>
      <c r="O42" s="25"/>
      <c r="P42" s="25"/>
      <c r="Q42" s="23"/>
      <c r="R42" s="23"/>
      <c r="S42" s="23"/>
      <c r="T42" s="34"/>
    </row>
    <row r="43" spans="1:20" ht="21" customHeight="1">
      <c r="A43" s="34">
        <v>3</v>
      </c>
      <c r="B43" s="34" t="s">
        <v>277</v>
      </c>
      <c r="C43" s="36"/>
      <c r="D43" s="23"/>
      <c r="E43" s="23"/>
      <c r="F43" s="25">
        <v>2</v>
      </c>
      <c r="G43" s="28"/>
      <c r="H43" s="23"/>
      <c r="I43" s="61"/>
      <c r="J43" s="62"/>
      <c r="K43" s="28"/>
      <c r="L43" s="62"/>
      <c r="M43" s="62"/>
      <c r="N43" s="62"/>
      <c r="O43" s="25"/>
      <c r="P43" s="25"/>
      <c r="Q43" s="23"/>
      <c r="R43" s="23"/>
      <c r="S43" s="23"/>
      <c r="T43" s="34"/>
    </row>
    <row r="44" spans="1:20" ht="21" customHeight="1">
      <c r="A44" s="34">
        <v>4</v>
      </c>
      <c r="B44" s="34" t="s">
        <v>278</v>
      </c>
      <c r="C44" s="36"/>
      <c r="D44" s="23"/>
      <c r="E44" s="23"/>
      <c r="F44" s="25">
        <v>12</v>
      </c>
      <c r="G44" s="28"/>
      <c r="H44" s="23" t="s">
        <v>440</v>
      </c>
      <c r="I44" s="61"/>
      <c r="J44" s="62"/>
      <c r="K44" s="28"/>
      <c r="L44" s="62"/>
      <c r="M44" s="62"/>
      <c r="N44" s="62"/>
      <c r="O44" s="25"/>
      <c r="P44" s="25"/>
      <c r="Q44" s="23"/>
      <c r="R44" s="23"/>
      <c r="S44" s="23"/>
      <c r="T44" s="34"/>
    </row>
    <row r="45" spans="1:20" ht="21" customHeight="1">
      <c r="A45" s="34">
        <v>5</v>
      </c>
      <c r="B45" s="34" t="s">
        <v>279</v>
      </c>
      <c r="C45" s="12"/>
      <c r="D45" s="28"/>
      <c r="E45" s="28"/>
      <c r="F45" s="25">
        <v>1.5</v>
      </c>
      <c r="G45" s="28"/>
      <c r="H45" s="28"/>
      <c r="I45" s="61"/>
      <c r="J45" s="62"/>
      <c r="K45" s="28"/>
      <c r="L45" s="62"/>
      <c r="M45" s="62"/>
      <c r="N45" s="62"/>
      <c r="O45" s="25"/>
      <c r="P45" s="25"/>
      <c r="Q45" s="23"/>
      <c r="R45" s="23"/>
      <c r="S45" s="23"/>
      <c r="T45" s="32"/>
    </row>
    <row r="46" spans="1:20" ht="21" customHeight="1">
      <c r="A46" s="63" t="s">
        <v>280</v>
      </c>
      <c r="B46" s="34"/>
      <c r="C46" s="12"/>
      <c r="D46" s="28"/>
      <c r="E46" s="28"/>
      <c r="F46" s="25"/>
      <c r="G46" s="28"/>
      <c r="H46" s="28"/>
      <c r="I46" s="61"/>
      <c r="J46" s="62"/>
      <c r="K46" s="28"/>
      <c r="L46" s="62"/>
      <c r="M46" s="62"/>
      <c r="N46" s="62"/>
      <c r="O46" s="25"/>
      <c r="P46" s="25"/>
      <c r="Q46" s="23"/>
      <c r="R46" s="23"/>
      <c r="S46" s="23"/>
      <c r="T46" s="32"/>
    </row>
    <row r="47" spans="1:20" ht="21" customHeight="1">
      <c r="A47" s="34">
        <v>1</v>
      </c>
      <c r="B47" s="34" t="s">
        <v>281</v>
      </c>
      <c r="C47" s="36"/>
      <c r="D47" s="28"/>
      <c r="E47" s="28"/>
      <c r="F47" s="25"/>
      <c r="G47" s="28"/>
      <c r="H47" s="28"/>
      <c r="I47" s="61"/>
      <c r="J47" s="62"/>
      <c r="K47" s="28"/>
      <c r="L47" s="62"/>
      <c r="M47" s="62"/>
      <c r="N47" s="62"/>
      <c r="O47" s="25"/>
      <c r="P47" s="25"/>
      <c r="Q47" s="23"/>
      <c r="R47" s="23"/>
      <c r="S47" s="23"/>
      <c r="T47" s="32"/>
    </row>
    <row r="48" spans="1:20" ht="21" customHeight="1">
      <c r="A48" s="34">
        <v>2</v>
      </c>
      <c r="B48" s="34" t="s">
        <v>282</v>
      </c>
      <c r="C48" s="12"/>
      <c r="D48" s="28"/>
      <c r="E48" s="28"/>
      <c r="F48" s="25"/>
      <c r="G48" s="28"/>
      <c r="H48" s="28"/>
      <c r="I48" s="61"/>
      <c r="J48" s="62"/>
      <c r="K48" s="28"/>
      <c r="L48" s="62"/>
      <c r="M48" s="62"/>
      <c r="N48" s="62"/>
      <c r="O48" s="25"/>
      <c r="P48" s="25"/>
      <c r="Q48" s="23"/>
      <c r="R48" s="23"/>
      <c r="S48" s="23"/>
      <c r="T48" s="32"/>
    </row>
    <row r="49" spans="1:20" ht="21" customHeight="1">
      <c r="A49" s="34">
        <v>3</v>
      </c>
      <c r="B49" s="34" t="s">
        <v>283</v>
      </c>
      <c r="C49" s="12"/>
      <c r="D49" s="28"/>
      <c r="E49" s="28"/>
      <c r="F49" s="25"/>
      <c r="G49" s="28"/>
      <c r="H49" s="28" t="s">
        <v>438</v>
      </c>
      <c r="I49" s="61"/>
      <c r="J49" s="62"/>
      <c r="K49" s="28"/>
      <c r="L49" s="62"/>
      <c r="M49" s="62"/>
      <c r="N49" s="62"/>
      <c r="O49" s="25"/>
      <c r="P49" s="25"/>
      <c r="Q49" s="23"/>
      <c r="R49" s="23"/>
      <c r="S49" s="23"/>
      <c r="T49" s="32"/>
    </row>
    <row r="50" spans="1:20" ht="21" customHeight="1">
      <c r="A50" s="34">
        <v>4</v>
      </c>
      <c r="B50" s="34" t="s">
        <v>284</v>
      </c>
      <c r="C50" s="12"/>
      <c r="D50" s="28"/>
      <c r="E50" s="28"/>
      <c r="F50" s="25"/>
      <c r="G50" s="28"/>
      <c r="H50" s="28"/>
      <c r="I50" s="61"/>
      <c r="J50" s="62"/>
      <c r="K50" s="28"/>
      <c r="L50" s="62"/>
      <c r="M50" s="62"/>
      <c r="N50" s="62"/>
      <c r="O50" s="25"/>
      <c r="P50" s="25"/>
      <c r="Q50" s="23"/>
      <c r="R50" s="23"/>
      <c r="S50" s="23"/>
      <c r="T50" s="32"/>
    </row>
    <row r="51" spans="1:20" ht="21" customHeight="1">
      <c r="A51" s="34">
        <v>5</v>
      </c>
      <c r="B51" s="34" t="s">
        <v>285</v>
      </c>
      <c r="C51" s="12"/>
      <c r="D51" s="28"/>
      <c r="E51" s="28"/>
      <c r="F51" s="25"/>
      <c r="G51" s="28"/>
      <c r="H51" s="28"/>
      <c r="I51" s="61"/>
      <c r="J51" s="62"/>
      <c r="K51" s="28"/>
      <c r="L51" s="62"/>
      <c r="M51" s="62"/>
      <c r="N51" s="62"/>
      <c r="O51" s="25"/>
      <c r="P51" s="25"/>
      <c r="Q51" s="23"/>
      <c r="R51" s="23"/>
      <c r="S51" s="23"/>
      <c r="T51" s="32"/>
    </row>
    <row r="52" spans="1:20" ht="21" customHeight="1">
      <c r="A52" s="63" t="s">
        <v>286</v>
      </c>
      <c r="B52" s="34"/>
      <c r="C52" s="12"/>
      <c r="D52" s="28"/>
      <c r="E52" s="28"/>
      <c r="F52" s="25"/>
      <c r="G52" s="28"/>
      <c r="H52" s="28"/>
      <c r="I52" s="61"/>
      <c r="J52" s="62"/>
      <c r="K52" s="28"/>
      <c r="L52" s="62"/>
      <c r="M52" s="62"/>
      <c r="N52" s="62"/>
      <c r="O52" s="25"/>
      <c r="P52" s="25"/>
      <c r="Q52" s="23"/>
      <c r="R52" s="23"/>
      <c r="S52" s="23"/>
      <c r="T52" s="32"/>
    </row>
    <row r="53" spans="1:20" ht="21" customHeight="1">
      <c r="A53" s="34">
        <v>1</v>
      </c>
      <c r="B53" s="34" t="s">
        <v>287</v>
      </c>
      <c r="C53" s="36">
        <v>16</v>
      </c>
      <c r="D53" s="28"/>
      <c r="E53" s="28"/>
      <c r="F53" s="25"/>
      <c r="G53" s="28"/>
      <c r="H53" s="28"/>
      <c r="I53" s="61"/>
      <c r="J53" s="62"/>
      <c r="K53" s="28"/>
      <c r="L53" s="62"/>
      <c r="M53" s="62"/>
      <c r="N53" s="62"/>
      <c r="O53" s="25"/>
      <c r="P53" s="25"/>
      <c r="Q53" s="23"/>
      <c r="R53" s="23"/>
      <c r="S53" s="23"/>
      <c r="T53" s="32"/>
    </row>
    <row r="54" spans="1:20" ht="21" customHeight="1">
      <c r="A54" s="34">
        <v>2</v>
      </c>
      <c r="B54" s="34" t="s">
        <v>288</v>
      </c>
      <c r="C54" s="12"/>
      <c r="D54" s="28"/>
      <c r="E54" s="28"/>
      <c r="F54" s="25"/>
      <c r="G54" s="28"/>
      <c r="H54" s="28"/>
      <c r="I54" s="61"/>
      <c r="J54" s="62"/>
      <c r="K54" s="28"/>
      <c r="L54" s="62"/>
      <c r="M54" s="62"/>
      <c r="N54" s="62"/>
      <c r="O54" s="25"/>
      <c r="P54" s="25"/>
      <c r="Q54" s="23"/>
      <c r="R54" s="23"/>
      <c r="S54" s="23"/>
      <c r="T54" s="32"/>
    </row>
    <row r="55" spans="1:20" ht="21" customHeight="1">
      <c r="A55" s="34">
        <v>3</v>
      </c>
      <c r="B55" s="34" t="s">
        <v>289</v>
      </c>
      <c r="C55" s="12"/>
      <c r="D55" s="28"/>
      <c r="E55" s="28"/>
      <c r="F55" s="25">
        <v>1</v>
      </c>
      <c r="G55" s="28"/>
      <c r="H55" s="28"/>
      <c r="I55" s="61"/>
      <c r="J55" s="62"/>
      <c r="K55" s="28"/>
      <c r="L55" s="62"/>
      <c r="M55" s="62"/>
      <c r="N55" s="62"/>
      <c r="O55" s="25"/>
      <c r="P55" s="25"/>
      <c r="Q55" s="23"/>
      <c r="R55" s="23"/>
      <c r="S55" s="23"/>
      <c r="T55" s="32"/>
    </row>
    <row r="56" spans="1:20" ht="21" customHeight="1">
      <c r="A56" s="63" t="s">
        <v>290</v>
      </c>
      <c r="B56" s="34"/>
      <c r="C56" s="12"/>
      <c r="D56" s="28"/>
      <c r="E56" s="28"/>
      <c r="F56" s="25"/>
      <c r="G56" s="28"/>
      <c r="H56" s="28"/>
      <c r="I56" s="61"/>
      <c r="J56" s="62"/>
      <c r="K56" s="28"/>
      <c r="L56" s="62"/>
      <c r="M56" s="62"/>
      <c r="N56" s="62"/>
      <c r="O56" s="25"/>
      <c r="P56" s="25"/>
      <c r="Q56" s="23"/>
      <c r="R56" s="23"/>
      <c r="S56" s="23"/>
      <c r="T56" s="32"/>
    </row>
    <row r="57" spans="1:20" ht="21" customHeight="1">
      <c r="A57" s="34">
        <v>1</v>
      </c>
      <c r="B57" s="43" t="s">
        <v>291</v>
      </c>
      <c r="C57" s="12"/>
      <c r="D57" s="28"/>
      <c r="E57" s="28"/>
      <c r="F57" s="25"/>
      <c r="G57" s="28"/>
      <c r="H57" s="28"/>
      <c r="I57" s="61"/>
      <c r="J57" s="62"/>
      <c r="K57" s="28"/>
      <c r="L57" s="62"/>
      <c r="M57" s="62"/>
      <c r="N57" s="62"/>
      <c r="O57" s="25"/>
      <c r="P57" s="25"/>
      <c r="Q57" s="23"/>
      <c r="R57" s="23"/>
      <c r="S57" s="23"/>
      <c r="T57" s="32"/>
    </row>
    <row r="58" spans="1:20" ht="21" customHeight="1">
      <c r="A58" s="34">
        <v>2</v>
      </c>
      <c r="B58" s="34" t="s">
        <v>292</v>
      </c>
      <c r="C58" s="12"/>
      <c r="D58" s="28"/>
      <c r="E58" s="28"/>
      <c r="F58" s="25"/>
      <c r="G58" s="28">
        <v>38</v>
      </c>
      <c r="H58" s="28"/>
      <c r="I58" s="61"/>
      <c r="J58" s="62"/>
      <c r="K58" s="28"/>
      <c r="L58" s="62"/>
      <c r="M58" s="62"/>
      <c r="N58" s="62"/>
      <c r="O58" s="25"/>
      <c r="P58" s="25"/>
      <c r="Q58" s="23"/>
      <c r="R58" s="23"/>
      <c r="S58" s="23"/>
      <c r="T58" s="32"/>
    </row>
    <row r="59" spans="1:20" ht="21" customHeight="1">
      <c r="A59" s="34">
        <v>3</v>
      </c>
      <c r="B59" s="34" t="s">
        <v>293</v>
      </c>
      <c r="C59" s="12"/>
      <c r="D59" s="28"/>
      <c r="E59" s="28"/>
      <c r="F59" s="25"/>
      <c r="G59" s="28">
        <v>2</v>
      </c>
      <c r="H59" s="28"/>
      <c r="I59" s="61"/>
      <c r="J59" s="62"/>
      <c r="K59" s="28"/>
      <c r="L59" s="62"/>
      <c r="M59" s="62"/>
      <c r="N59" s="62"/>
      <c r="O59" s="25"/>
      <c r="P59" s="25"/>
      <c r="Q59" s="23"/>
      <c r="R59" s="23"/>
      <c r="S59" s="23"/>
      <c r="T59" s="32"/>
    </row>
    <row r="60" spans="1:20" ht="21" customHeight="1">
      <c r="A60" s="34">
        <v>4</v>
      </c>
      <c r="B60" s="34" t="s">
        <v>294</v>
      </c>
      <c r="C60" s="12"/>
      <c r="D60" s="23"/>
      <c r="E60" s="28"/>
      <c r="F60" s="25"/>
      <c r="G60" s="28">
        <v>6</v>
      </c>
      <c r="H60" s="28"/>
      <c r="I60" s="61"/>
      <c r="J60" s="62"/>
      <c r="K60" s="28"/>
      <c r="L60" s="62"/>
      <c r="M60" s="62"/>
      <c r="N60" s="62"/>
      <c r="O60" s="25"/>
      <c r="P60" s="25"/>
      <c r="Q60" s="23"/>
      <c r="R60" s="23"/>
      <c r="S60" s="23"/>
      <c r="T60" s="32"/>
    </row>
    <row r="61" spans="1:20" ht="21" customHeight="1">
      <c r="A61" s="34">
        <v>5</v>
      </c>
      <c r="B61" s="34" t="s">
        <v>295</v>
      </c>
      <c r="C61" s="12"/>
      <c r="D61" s="61"/>
      <c r="E61" s="28"/>
      <c r="F61" s="25">
        <v>8</v>
      </c>
      <c r="G61" s="23"/>
      <c r="H61" s="28"/>
      <c r="I61" s="61"/>
      <c r="J61" s="62"/>
      <c r="K61" s="28"/>
      <c r="L61" s="62"/>
      <c r="M61" s="62"/>
      <c r="N61" s="62"/>
      <c r="O61" s="25"/>
      <c r="P61" s="25"/>
      <c r="Q61" s="23"/>
      <c r="R61" s="23"/>
      <c r="S61" s="23"/>
      <c r="T61" s="32"/>
    </row>
    <row r="62" spans="1:20" ht="21" customHeight="1">
      <c r="A62" s="34">
        <v>6</v>
      </c>
      <c r="B62" s="34" t="s">
        <v>296</v>
      </c>
      <c r="C62" s="12"/>
      <c r="D62" s="61"/>
      <c r="E62" s="28"/>
      <c r="F62" s="25">
        <v>20</v>
      </c>
      <c r="G62" s="23">
        <v>24</v>
      </c>
      <c r="H62" s="28"/>
      <c r="I62" s="61"/>
      <c r="J62" s="62"/>
      <c r="K62" s="28"/>
      <c r="L62" s="62"/>
      <c r="M62" s="62"/>
      <c r="N62" s="62"/>
      <c r="O62" s="25"/>
      <c r="P62" s="25"/>
      <c r="Q62" s="23"/>
      <c r="R62" s="23"/>
      <c r="S62" s="23"/>
      <c r="T62" s="32"/>
    </row>
    <row r="63" spans="1:20" ht="21" customHeight="1">
      <c r="A63" s="34">
        <v>7</v>
      </c>
      <c r="B63" s="34" t="s">
        <v>297</v>
      </c>
      <c r="C63" s="12"/>
      <c r="D63" s="61"/>
      <c r="E63" s="28"/>
      <c r="F63" s="25">
        <v>8</v>
      </c>
      <c r="G63" s="23"/>
      <c r="H63" s="28"/>
      <c r="I63" s="61"/>
      <c r="J63" s="62"/>
      <c r="K63" s="28"/>
      <c r="L63" s="62"/>
      <c r="M63" s="62"/>
      <c r="N63" s="62"/>
      <c r="O63" s="25"/>
      <c r="P63" s="25"/>
      <c r="Q63" s="23"/>
      <c r="R63" s="23"/>
      <c r="S63" s="23"/>
      <c r="T63" s="32"/>
    </row>
    <row r="64" spans="1:20" ht="21" customHeight="1">
      <c r="A64" s="34">
        <v>8</v>
      </c>
      <c r="B64" s="34" t="s">
        <v>298</v>
      </c>
      <c r="C64" s="12"/>
      <c r="D64" s="61"/>
      <c r="E64" s="28"/>
      <c r="F64" s="25"/>
      <c r="G64" s="23"/>
      <c r="H64" s="28"/>
      <c r="I64" s="61"/>
      <c r="J64" s="62"/>
      <c r="K64" s="28"/>
      <c r="L64" s="62"/>
      <c r="M64" s="62"/>
      <c r="N64" s="62"/>
      <c r="O64" s="25"/>
      <c r="P64" s="25"/>
      <c r="Q64" s="23"/>
      <c r="R64" s="23"/>
      <c r="S64" s="23"/>
      <c r="T64" s="32"/>
    </row>
    <row r="65" spans="1:20" ht="21" customHeight="1">
      <c r="A65" s="34">
        <v>9</v>
      </c>
      <c r="B65" s="34" t="s">
        <v>299</v>
      </c>
      <c r="C65" s="12"/>
      <c r="D65" s="61"/>
      <c r="E65" s="28"/>
      <c r="F65" s="25">
        <v>16</v>
      </c>
      <c r="G65" s="23"/>
      <c r="H65" s="28"/>
      <c r="I65" s="61"/>
      <c r="J65" s="62"/>
      <c r="K65" s="28"/>
      <c r="L65" s="62"/>
      <c r="M65" s="62"/>
      <c r="N65" s="62"/>
      <c r="O65" s="25"/>
      <c r="P65" s="25"/>
      <c r="Q65" s="23"/>
      <c r="R65" s="23"/>
      <c r="S65" s="23"/>
      <c r="T65" s="32"/>
    </row>
    <row r="66" spans="1:20" ht="21" customHeight="1">
      <c r="A66" s="34">
        <v>10</v>
      </c>
      <c r="B66" s="34" t="s">
        <v>300</v>
      </c>
      <c r="C66" s="12"/>
      <c r="D66" s="61"/>
      <c r="E66" s="28"/>
      <c r="F66" s="25">
        <v>16</v>
      </c>
      <c r="G66" s="23"/>
      <c r="H66" s="28"/>
      <c r="I66" s="61"/>
      <c r="J66" s="62"/>
      <c r="K66" s="28"/>
      <c r="L66" s="62"/>
      <c r="M66" s="62"/>
      <c r="N66" s="62"/>
      <c r="O66" s="25"/>
      <c r="P66" s="25"/>
      <c r="Q66" s="23"/>
      <c r="R66" s="23"/>
      <c r="S66" s="23"/>
      <c r="T66" s="32"/>
    </row>
    <row r="67" spans="1:20" ht="21" customHeight="1">
      <c r="A67" s="34">
        <v>11</v>
      </c>
      <c r="B67" s="34" t="s">
        <v>301</v>
      </c>
      <c r="C67" s="12"/>
      <c r="D67" s="61"/>
      <c r="E67" s="28"/>
      <c r="F67" s="25"/>
      <c r="G67" s="23">
        <v>16</v>
      </c>
      <c r="H67" s="28"/>
      <c r="I67" s="61"/>
      <c r="J67" s="62"/>
      <c r="K67" s="28"/>
      <c r="L67" s="62"/>
      <c r="M67" s="62"/>
      <c r="N67" s="62"/>
      <c r="O67" s="25"/>
      <c r="P67" s="25"/>
      <c r="Q67" s="23"/>
      <c r="R67" s="23"/>
      <c r="S67" s="23"/>
      <c r="T67" s="32"/>
    </row>
    <row r="68" spans="1:20" ht="21" customHeight="1">
      <c r="A68" s="34">
        <v>12</v>
      </c>
      <c r="B68" s="34" t="s">
        <v>302</v>
      </c>
      <c r="C68" s="12"/>
      <c r="D68" s="61"/>
      <c r="E68" s="28"/>
      <c r="F68" s="25">
        <v>16</v>
      </c>
      <c r="G68" s="23"/>
      <c r="H68" s="28" t="s">
        <v>439</v>
      </c>
      <c r="I68" s="61"/>
      <c r="J68" s="62"/>
      <c r="K68" s="28"/>
      <c r="L68" s="62"/>
      <c r="M68" s="62"/>
      <c r="N68" s="62"/>
      <c r="O68" s="25"/>
      <c r="P68" s="25"/>
      <c r="Q68" s="23"/>
      <c r="R68" s="23"/>
      <c r="S68" s="23"/>
      <c r="T68" s="32"/>
    </row>
    <row r="69" spans="1:20" ht="21" customHeight="1">
      <c r="A69" s="34">
        <v>13</v>
      </c>
      <c r="B69" s="34" t="s">
        <v>303</v>
      </c>
      <c r="C69" s="12"/>
      <c r="D69" s="61"/>
      <c r="E69" s="28"/>
      <c r="F69" s="25"/>
      <c r="G69" s="23"/>
      <c r="H69" s="28"/>
      <c r="I69" s="61"/>
      <c r="J69" s="62"/>
      <c r="K69" s="28"/>
      <c r="L69" s="62"/>
      <c r="M69" s="62"/>
      <c r="N69" s="62"/>
      <c r="O69" s="25"/>
      <c r="P69" s="25"/>
      <c r="Q69" s="23"/>
      <c r="R69" s="23"/>
      <c r="S69" s="23"/>
      <c r="T69" s="32"/>
    </row>
    <row r="70" spans="1:20" ht="21" customHeight="1">
      <c r="A70" s="34">
        <v>14</v>
      </c>
      <c r="B70" s="34" t="s">
        <v>304</v>
      </c>
      <c r="C70" s="12"/>
      <c r="D70" s="61"/>
      <c r="E70" s="28"/>
      <c r="F70" s="25">
        <v>32</v>
      </c>
      <c r="G70" s="23"/>
      <c r="H70" s="28"/>
      <c r="I70" s="61"/>
      <c r="J70" s="62"/>
      <c r="K70" s="28"/>
      <c r="L70" s="62"/>
      <c r="M70" s="62"/>
      <c r="N70" s="62"/>
      <c r="O70" s="25"/>
      <c r="P70" s="25"/>
      <c r="Q70" s="23"/>
      <c r="R70" s="23"/>
      <c r="S70" s="23"/>
      <c r="T70" s="32"/>
    </row>
    <row r="71" spans="1:20" ht="21" customHeight="1">
      <c r="A71" s="63" t="s">
        <v>305</v>
      </c>
      <c r="B71" s="64"/>
      <c r="C71" s="65"/>
      <c r="D71" s="28"/>
      <c r="E71" s="28"/>
      <c r="F71" s="25"/>
      <c r="G71" s="28"/>
      <c r="H71" s="28"/>
      <c r="I71" s="61"/>
      <c r="J71" s="62"/>
      <c r="K71" s="28"/>
      <c r="L71" s="62"/>
      <c r="M71" s="62"/>
      <c r="N71" s="62"/>
      <c r="O71" s="25"/>
      <c r="P71" s="25"/>
      <c r="Q71" s="23"/>
      <c r="R71" s="23"/>
      <c r="S71" s="23"/>
      <c r="T71" s="32"/>
    </row>
    <row r="72" spans="1:20" ht="21" customHeight="1">
      <c r="A72" s="34">
        <v>1</v>
      </c>
      <c r="B72" s="34" t="s">
        <v>306</v>
      </c>
      <c r="C72" s="12">
        <v>16</v>
      </c>
      <c r="D72" s="28"/>
      <c r="E72" s="28"/>
      <c r="F72" s="25"/>
      <c r="G72" s="28"/>
      <c r="H72" s="27"/>
      <c r="I72" s="61"/>
      <c r="J72" s="62"/>
      <c r="K72" s="28"/>
      <c r="L72" s="62"/>
      <c r="M72" s="62"/>
      <c r="N72" s="62"/>
      <c r="O72" s="25"/>
      <c r="P72" s="25"/>
      <c r="Q72" s="23"/>
      <c r="R72" s="23"/>
      <c r="S72" s="23"/>
      <c r="T72" s="32"/>
    </row>
    <row r="73" spans="1:20" ht="21" customHeight="1">
      <c r="A73" s="34">
        <v>2</v>
      </c>
      <c r="B73" s="34" t="s">
        <v>307</v>
      </c>
      <c r="C73" s="12">
        <v>28.5</v>
      </c>
      <c r="D73" s="28"/>
      <c r="E73" s="28"/>
      <c r="F73" s="25"/>
      <c r="G73" s="28"/>
      <c r="H73" s="28"/>
      <c r="I73" s="61">
        <v>3.5</v>
      </c>
      <c r="J73" s="62">
        <f>I73*8</f>
        <v>28</v>
      </c>
      <c r="K73" s="23">
        <v>4</v>
      </c>
      <c r="L73" s="62">
        <f>K73*12</f>
        <v>48</v>
      </c>
      <c r="M73" s="62">
        <f>K73*4</f>
        <v>16</v>
      </c>
      <c r="N73" s="62">
        <f>M73+L73+J73</f>
        <v>92</v>
      </c>
      <c r="O73" s="25"/>
      <c r="P73" s="25"/>
      <c r="Q73" s="23"/>
      <c r="R73" s="23"/>
      <c r="S73" s="23"/>
      <c r="T73" s="32"/>
    </row>
    <row r="74" spans="1:20" ht="21" customHeight="1">
      <c r="A74" s="34">
        <v>3</v>
      </c>
      <c r="B74" s="34" t="s">
        <v>308</v>
      </c>
      <c r="C74" s="12"/>
      <c r="D74" s="28"/>
      <c r="E74" s="28"/>
      <c r="F74" s="25"/>
      <c r="G74" s="28"/>
      <c r="H74" s="28"/>
      <c r="I74" s="61"/>
      <c r="J74" s="62"/>
      <c r="K74" s="23"/>
      <c r="L74" s="62"/>
      <c r="M74" s="62"/>
      <c r="N74" s="62"/>
      <c r="O74" s="25"/>
      <c r="P74" s="25"/>
      <c r="Q74" s="23"/>
      <c r="R74" s="23"/>
      <c r="S74" s="23"/>
      <c r="T74" s="32"/>
    </row>
    <row r="75" spans="1:20" ht="21" customHeight="1">
      <c r="A75" s="34">
        <v>4</v>
      </c>
      <c r="B75" s="34" t="s">
        <v>309</v>
      </c>
      <c r="C75" s="70">
        <v>3</v>
      </c>
      <c r="D75" s="12"/>
      <c r="E75" s="28"/>
      <c r="F75" s="25"/>
      <c r="G75" s="28"/>
      <c r="H75" s="28"/>
      <c r="I75" s="61">
        <v>7</v>
      </c>
      <c r="J75" s="62">
        <f>I75*8</f>
        <v>56</v>
      </c>
      <c r="K75" s="23">
        <v>7</v>
      </c>
      <c r="L75" s="62">
        <f>K75*12</f>
        <v>84</v>
      </c>
      <c r="M75" s="62">
        <f>K75*4</f>
        <v>28</v>
      </c>
      <c r="N75" s="62">
        <f>M75+L75+J75</f>
        <v>168</v>
      </c>
      <c r="O75" s="25"/>
      <c r="P75" s="25"/>
      <c r="Q75" s="23"/>
      <c r="R75" s="23"/>
      <c r="S75" s="23"/>
      <c r="T75" s="32"/>
    </row>
    <row r="76" spans="1:20" ht="21" customHeight="1">
      <c r="A76" s="34">
        <v>5</v>
      </c>
      <c r="B76" s="34" t="s">
        <v>310</v>
      </c>
      <c r="C76" s="12">
        <v>40</v>
      </c>
      <c r="D76" s="12"/>
      <c r="E76" s="28"/>
      <c r="F76" s="25"/>
      <c r="G76" s="28"/>
      <c r="H76" s="28"/>
      <c r="I76" s="61">
        <v>1</v>
      </c>
      <c r="J76" s="62">
        <f>I76*8</f>
        <v>8</v>
      </c>
      <c r="K76" s="23"/>
      <c r="L76" s="62"/>
      <c r="M76" s="62"/>
      <c r="N76" s="62">
        <f>M76+L76+J76</f>
        <v>8</v>
      </c>
      <c r="O76" s="25"/>
      <c r="P76" s="25"/>
      <c r="Q76" s="23"/>
      <c r="R76" s="23"/>
      <c r="S76" s="23"/>
      <c r="T76" s="32"/>
    </row>
    <row r="77" spans="1:20" ht="21" customHeight="1">
      <c r="A77" s="34">
        <v>6</v>
      </c>
      <c r="B77" s="34" t="s">
        <v>311</v>
      </c>
      <c r="C77" s="12"/>
      <c r="D77" s="28"/>
      <c r="E77" s="28"/>
      <c r="F77" s="25">
        <v>8</v>
      </c>
      <c r="G77" s="28"/>
      <c r="H77" s="28"/>
      <c r="I77" s="61">
        <v>6.5</v>
      </c>
      <c r="J77" s="62">
        <f>I77*8</f>
        <v>52</v>
      </c>
      <c r="K77" s="23">
        <v>3</v>
      </c>
      <c r="L77" s="62">
        <f>K77*12</f>
        <v>36</v>
      </c>
      <c r="M77" s="62">
        <f>K77*4</f>
        <v>12</v>
      </c>
      <c r="N77" s="62">
        <f>M77+L77+J77</f>
        <v>100</v>
      </c>
      <c r="O77" s="25"/>
      <c r="P77" s="25"/>
      <c r="Q77" s="23"/>
      <c r="R77" s="23"/>
      <c r="S77" s="23"/>
      <c r="T77" s="32"/>
    </row>
    <row r="78" spans="1:20" ht="21" customHeight="1">
      <c r="A78" s="34">
        <v>7</v>
      </c>
      <c r="B78" s="34" t="s">
        <v>312</v>
      </c>
      <c r="C78" s="12" t="s">
        <v>435</v>
      </c>
      <c r="D78" s="28"/>
      <c r="E78" s="28"/>
      <c r="F78" s="25"/>
      <c r="G78" s="28"/>
      <c r="I78" s="61"/>
      <c r="J78" s="62"/>
      <c r="K78" s="23"/>
      <c r="L78" s="62"/>
      <c r="M78" s="62"/>
      <c r="N78" s="62"/>
      <c r="O78" s="25"/>
      <c r="P78" s="25"/>
      <c r="Q78" s="23"/>
      <c r="R78" s="23"/>
      <c r="S78" s="23"/>
      <c r="T78" s="32"/>
    </row>
    <row r="79" spans="1:20" ht="21" customHeight="1">
      <c r="A79" s="34">
        <v>8</v>
      </c>
      <c r="B79" s="34" t="s">
        <v>313</v>
      </c>
      <c r="C79" s="12">
        <v>15</v>
      </c>
      <c r="D79" s="28"/>
      <c r="E79" s="28"/>
      <c r="F79" s="25"/>
      <c r="G79" s="28"/>
      <c r="H79" s="28"/>
      <c r="I79" s="61"/>
      <c r="J79" s="62"/>
      <c r="K79" s="23"/>
      <c r="L79" s="62"/>
      <c r="M79" s="62"/>
      <c r="N79" s="62"/>
      <c r="O79" s="25"/>
      <c r="P79" s="25"/>
      <c r="Q79" s="23"/>
      <c r="R79" s="23"/>
      <c r="S79" s="23"/>
      <c r="T79" s="32"/>
    </row>
    <row r="80" spans="1:20" ht="21" customHeight="1">
      <c r="A80" s="34">
        <v>9</v>
      </c>
      <c r="B80" s="34" t="s">
        <v>314</v>
      </c>
      <c r="C80" s="12">
        <v>26.5</v>
      </c>
      <c r="D80" s="28"/>
      <c r="E80" s="28"/>
      <c r="F80" s="25"/>
      <c r="G80" s="28"/>
      <c r="H80" s="28"/>
      <c r="I80" s="61"/>
      <c r="J80" s="62"/>
      <c r="K80" s="23"/>
      <c r="L80" s="62"/>
      <c r="M80" s="62"/>
      <c r="N80" s="62"/>
      <c r="O80" s="25"/>
      <c r="P80" s="25"/>
      <c r="Q80" s="23"/>
      <c r="R80" s="23"/>
      <c r="S80" s="23"/>
      <c r="T80" s="32"/>
    </row>
    <row r="81" spans="1:21" ht="21" customHeight="1">
      <c r="A81" s="34">
        <v>10</v>
      </c>
      <c r="B81" s="34" t="s">
        <v>315</v>
      </c>
      <c r="C81" s="12"/>
      <c r="D81" s="28"/>
      <c r="E81" s="28"/>
      <c r="F81" s="25"/>
      <c r="G81" s="28"/>
      <c r="H81" s="28"/>
      <c r="I81" s="61">
        <v>10</v>
      </c>
      <c r="J81" s="62">
        <f>I81*8</f>
        <v>80</v>
      </c>
      <c r="K81" s="23"/>
      <c r="L81" s="62"/>
      <c r="M81" s="62"/>
      <c r="N81" s="62">
        <f>M81+L81+J81</f>
        <v>80</v>
      </c>
      <c r="O81" s="25"/>
      <c r="P81" s="25"/>
      <c r="Q81" s="23"/>
      <c r="R81" s="23"/>
      <c r="S81" s="23"/>
      <c r="T81" s="32"/>
    </row>
    <row r="82" spans="1:21" ht="21" customHeight="1">
      <c r="A82" s="34">
        <v>11</v>
      </c>
      <c r="B82" s="34" t="s">
        <v>316</v>
      </c>
      <c r="C82" s="12">
        <v>15</v>
      </c>
      <c r="D82" s="28"/>
      <c r="E82" s="28"/>
      <c r="F82" s="25"/>
      <c r="G82" s="28"/>
      <c r="H82" s="28"/>
      <c r="I82" s="61">
        <v>7</v>
      </c>
      <c r="J82" s="62">
        <f>I82*8</f>
        <v>56</v>
      </c>
      <c r="K82" s="23"/>
      <c r="L82" s="62"/>
      <c r="M82" s="62"/>
      <c r="N82" s="62">
        <f>M82+L82+J82</f>
        <v>56</v>
      </c>
      <c r="O82" s="25"/>
      <c r="P82" s="25"/>
      <c r="Q82" s="23"/>
      <c r="R82" s="23"/>
      <c r="S82" s="23"/>
      <c r="T82" s="32"/>
    </row>
    <row r="83" spans="1:21" ht="21" customHeight="1">
      <c r="A83" s="34">
        <v>12</v>
      </c>
      <c r="B83" s="34" t="s">
        <v>317</v>
      </c>
      <c r="C83" s="12"/>
      <c r="D83" s="28"/>
      <c r="E83" s="28"/>
      <c r="F83" s="25"/>
      <c r="G83" s="28"/>
      <c r="H83" s="28"/>
      <c r="I83" s="61">
        <v>6</v>
      </c>
      <c r="J83" s="62">
        <f>I83*8</f>
        <v>48</v>
      </c>
      <c r="K83" s="23"/>
      <c r="L83" s="62"/>
      <c r="M83" s="62"/>
      <c r="N83" s="62">
        <f>M83+L83+J83</f>
        <v>48</v>
      </c>
      <c r="O83" s="25"/>
      <c r="P83" s="25"/>
      <c r="Q83" s="23"/>
      <c r="R83" s="23"/>
      <c r="S83" s="23"/>
      <c r="T83" s="32"/>
    </row>
    <row r="84" spans="1:21" ht="21" customHeight="1">
      <c r="A84" s="34">
        <v>13</v>
      </c>
      <c r="B84" s="34" t="s">
        <v>318</v>
      </c>
      <c r="C84" s="12">
        <v>11</v>
      </c>
      <c r="D84" s="28"/>
      <c r="E84" s="28"/>
      <c r="F84" s="25"/>
      <c r="G84" s="28"/>
      <c r="H84" s="28"/>
      <c r="I84" s="61"/>
      <c r="J84" s="62"/>
      <c r="K84" s="23"/>
      <c r="L84" s="62"/>
      <c r="M84" s="62"/>
      <c r="N84" s="62"/>
      <c r="O84" s="25"/>
      <c r="P84" s="25"/>
      <c r="Q84" s="23"/>
      <c r="R84" s="23"/>
      <c r="S84" s="23"/>
      <c r="T84" s="32"/>
    </row>
    <row r="85" spans="1:21" ht="21" customHeight="1">
      <c r="A85" s="34">
        <v>14</v>
      </c>
      <c r="B85" s="34" t="s">
        <v>319</v>
      </c>
      <c r="C85" s="12"/>
      <c r="D85" s="28"/>
      <c r="E85" s="28"/>
      <c r="F85" s="25"/>
      <c r="G85" s="28"/>
      <c r="H85" s="28"/>
      <c r="I85" s="61"/>
      <c r="J85" s="62"/>
      <c r="K85" s="23"/>
      <c r="L85" s="62"/>
      <c r="M85" s="62"/>
      <c r="N85" s="62"/>
      <c r="O85" s="25"/>
      <c r="P85" s="25"/>
      <c r="Q85" s="23"/>
      <c r="R85" s="23"/>
      <c r="S85" s="23"/>
      <c r="T85" s="32"/>
    </row>
    <row r="86" spans="1:21" ht="21" customHeight="1">
      <c r="A86" s="34">
        <v>15</v>
      </c>
      <c r="B86" s="34" t="s">
        <v>320</v>
      </c>
      <c r="C86" s="12"/>
      <c r="D86" s="28"/>
      <c r="E86" s="28"/>
      <c r="F86" s="25">
        <v>10</v>
      </c>
      <c r="G86" s="28"/>
      <c r="H86" s="28"/>
      <c r="I86" s="61"/>
      <c r="J86" s="62"/>
      <c r="K86" s="23"/>
      <c r="L86" s="62"/>
      <c r="M86" s="62"/>
      <c r="N86" s="62"/>
      <c r="O86" s="25"/>
      <c r="P86" s="25"/>
      <c r="Q86" s="23"/>
      <c r="R86" s="23"/>
      <c r="S86" s="23"/>
      <c r="T86" s="32"/>
    </row>
    <row r="87" spans="1:21" ht="21" customHeight="1">
      <c r="A87" s="34">
        <v>16</v>
      </c>
      <c r="B87" s="34" t="s">
        <v>321</v>
      </c>
      <c r="C87" s="12"/>
      <c r="D87" s="28"/>
      <c r="E87" s="28"/>
      <c r="F87" s="25">
        <v>1.5</v>
      </c>
      <c r="G87" s="28"/>
      <c r="H87" s="28"/>
      <c r="I87" s="61"/>
      <c r="J87" s="62"/>
      <c r="K87" s="23"/>
      <c r="L87" s="62"/>
      <c r="M87" s="62"/>
      <c r="N87" s="62"/>
      <c r="O87" s="25"/>
      <c r="P87" s="25"/>
      <c r="Q87" s="23"/>
      <c r="R87" s="23"/>
      <c r="S87" s="23"/>
      <c r="T87" s="32"/>
    </row>
    <row r="88" spans="1:21" ht="21" customHeight="1">
      <c r="A88" s="34">
        <v>17</v>
      </c>
      <c r="B88" s="34" t="s">
        <v>322</v>
      </c>
      <c r="C88" s="12"/>
      <c r="D88" s="28"/>
      <c r="E88" s="23"/>
      <c r="F88" s="25"/>
      <c r="H88" s="28"/>
      <c r="I88" s="61"/>
      <c r="J88" s="62"/>
      <c r="K88" s="23"/>
      <c r="L88" s="62"/>
      <c r="M88" s="62"/>
      <c r="N88" s="62"/>
      <c r="O88" s="25"/>
      <c r="P88" s="25"/>
      <c r="Q88" s="23"/>
      <c r="R88" s="23"/>
      <c r="S88" s="23"/>
      <c r="T88" s="32"/>
    </row>
    <row r="89" spans="1:21" ht="21" customHeight="1">
      <c r="A89" s="34">
        <v>18</v>
      </c>
      <c r="B89" s="34" t="s">
        <v>323</v>
      </c>
      <c r="C89" s="12"/>
      <c r="D89" s="28"/>
      <c r="E89" s="28"/>
      <c r="F89" s="25"/>
      <c r="G89" s="28"/>
      <c r="H89" s="28"/>
      <c r="I89" s="61"/>
      <c r="J89" s="62"/>
      <c r="K89" s="23"/>
      <c r="L89" s="62"/>
      <c r="M89" s="62"/>
      <c r="N89" s="62"/>
      <c r="O89" s="25"/>
      <c r="P89" s="25"/>
      <c r="Q89" s="23"/>
      <c r="R89" s="23"/>
      <c r="S89" s="23"/>
      <c r="T89" s="32"/>
    </row>
    <row r="90" spans="1:21" ht="21" customHeight="1">
      <c r="A90" s="34">
        <v>19</v>
      </c>
      <c r="B90" s="34" t="s">
        <v>324</v>
      </c>
      <c r="C90" s="12">
        <v>9.5</v>
      </c>
      <c r="D90" s="28"/>
      <c r="E90" s="28"/>
      <c r="F90" s="25"/>
      <c r="G90" s="28"/>
      <c r="H90" s="28"/>
      <c r="I90" s="61"/>
      <c r="J90" s="62"/>
      <c r="K90" s="23"/>
      <c r="L90" s="62"/>
      <c r="M90" s="62"/>
      <c r="N90" s="62"/>
      <c r="O90" s="25"/>
      <c r="P90" s="25"/>
      <c r="Q90" s="23"/>
      <c r="R90" s="23"/>
      <c r="S90" s="23"/>
      <c r="T90" s="32"/>
    </row>
    <row r="91" spans="1:21" ht="21" customHeight="1">
      <c r="A91" s="34">
        <v>20</v>
      </c>
      <c r="B91" s="34" t="s">
        <v>325</v>
      </c>
      <c r="C91" s="12"/>
      <c r="D91" s="28"/>
      <c r="E91" s="28"/>
      <c r="F91" s="25"/>
      <c r="G91" s="28"/>
      <c r="H91" s="28"/>
      <c r="I91" s="61"/>
      <c r="J91" s="62"/>
      <c r="K91" s="23"/>
      <c r="L91" s="62"/>
      <c r="M91" s="62"/>
      <c r="N91" s="62"/>
      <c r="O91" s="25"/>
      <c r="P91" s="25"/>
      <c r="Q91" s="23"/>
      <c r="R91" s="23"/>
      <c r="S91" s="23"/>
      <c r="T91" s="32"/>
    </row>
    <row r="92" spans="1:21" ht="21" customHeight="1">
      <c r="A92" s="34">
        <v>21</v>
      </c>
      <c r="B92" s="34" t="s">
        <v>326</v>
      </c>
      <c r="C92" s="12">
        <v>8</v>
      </c>
      <c r="D92" s="28"/>
      <c r="E92" s="28"/>
      <c r="F92" s="25"/>
      <c r="G92" s="28"/>
      <c r="H92" s="28"/>
      <c r="I92" s="61">
        <v>2</v>
      </c>
      <c r="J92" s="62">
        <f>I92*8</f>
        <v>16</v>
      </c>
      <c r="K92" s="23"/>
      <c r="L92" s="62"/>
      <c r="M92" s="62"/>
      <c r="N92" s="62">
        <f>M92+L92+J92</f>
        <v>16</v>
      </c>
      <c r="O92" s="25"/>
      <c r="P92" s="25"/>
      <c r="Q92" s="23"/>
      <c r="R92" s="23"/>
      <c r="S92" s="23"/>
      <c r="T92" s="32"/>
    </row>
    <row r="93" spans="1:21" ht="21" customHeight="1">
      <c r="A93" s="34">
        <v>22</v>
      </c>
      <c r="B93" s="34" t="s">
        <v>327</v>
      </c>
      <c r="C93" s="12">
        <v>18.5</v>
      </c>
      <c r="D93" s="28"/>
      <c r="E93" s="28"/>
      <c r="F93" s="25"/>
      <c r="G93" s="28"/>
      <c r="H93" s="28"/>
      <c r="I93" s="61"/>
      <c r="J93" s="62"/>
      <c r="K93" s="23"/>
      <c r="L93" s="62"/>
      <c r="M93" s="62"/>
      <c r="N93" s="62"/>
      <c r="O93" s="25"/>
      <c r="P93" s="25"/>
      <c r="Q93" s="23"/>
      <c r="R93" s="23"/>
      <c r="S93" s="23"/>
      <c r="T93" s="35"/>
    </row>
    <row r="94" spans="1:21" ht="21" customHeight="1">
      <c r="A94" s="34">
        <v>23</v>
      </c>
      <c r="B94" s="34" t="s">
        <v>328</v>
      </c>
      <c r="C94" s="12">
        <v>16</v>
      </c>
      <c r="D94" s="28"/>
      <c r="E94" s="28"/>
      <c r="F94" s="25"/>
      <c r="G94" s="28"/>
      <c r="H94" s="28"/>
      <c r="I94" s="61">
        <v>12</v>
      </c>
      <c r="J94" s="62">
        <f>I94*8</f>
        <v>96</v>
      </c>
      <c r="K94" s="23">
        <v>2</v>
      </c>
      <c r="L94" s="62">
        <f>K94*12</f>
        <v>24</v>
      </c>
      <c r="M94" s="62">
        <f>K94*4</f>
        <v>8</v>
      </c>
      <c r="N94" s="62">
        <f>M94+L94+J94</f>
        <v>128</v>
      </c>
      <c r="O94" s="25"/>
      <c r="P94" s="25"/>
      <c r="Q94" s="23"/>
      <c r="R94" s="23"/>
      <c r="S94" s="23"/>
      <c r="T94" s="32"/>
    </row>
    <row r="95" spans="1:21" ht="21" customHeight="1">
      <c r="A95" s="34">
        <v>24</v>
      </c>
      <c r="B95" s="71" t="s">
        <v>329</v>
      </c>
      <c r="C95" s="12"/>
      <c r="D95" s="28"/>
      <c r="E95" s="28"/>
      <c r="F95" s="25">
        <v>8</v>
      </c>
      <c r="G95" s="28"/>
      <c r="H95" s="28"/>
      <c r="I95" s="61"/>
      <c r="J95" s="62"/>
      <c r="K95" s="23"/>
      <c r="L95" s="62"/>
      <c r="M95" s="62"/>
      <c r="N95" s="62"/>
      <c r="O95" s="25"/>
      <c r="P95" s="25"/>
      <c r="Q95" s="23"/>
      <c r="R95" s="23"/>
      <c r="S95" s="23"/>
      <c r="T95" s="32"/>
      <c r="U95" s="72"/>
    </row>
    <row r="96" spans="1:21" ht="21" customHeight="1">
      <c r="A96" s="34">
        <v>25</v>
      </c>
      <c r="B96" s="34" t="s">
        <v>330</v>
      </c>
      <c r="C96" s="12"/>
      <c r="D96" s="28"/>
      <c r="E96" s="28"/>
      <c r="F96" s="25"/>
      <c r="G96" s="28"/>
      <c r="H96" s="28"/>
      <c r="I96" s="61"/>
      <c r="J96" s="62"/>
      <c r="K96" s="23"/>
      <c r="L96" s="62"/>
      <c r="M96" s="62"/>
      <c r="N96" s="62"/>
      <c r="O96" s="25"/>
      <c r="P96" s="25"/>
      <c r="Q96" s="23"/>
      <c r="R96" s="23"/>
      <c r="S96" s="23"/>
      <c r="T96" s="32"/>
      <c r="U96" s="72"/>
    </row>
    <row r="97" spans="1:21" ht="21" customHeight="1">
      <c r="A97" s="34">
        <v>26</v>
      </c>
      <c r="B97" s="34" t="s">
        <v>331</v>
      </c>
      <c r="C97" s="12"/>
      <c r="D97" s="28"/>
      <c r="E97" s="28"/>
      <c r="F97" s="25">
        <v>0.5</v>
      </c>
      <c r="G97" s="28"/>
      <c r="H97" s="28"/>
      <c r="I97" s="61">
        <v>8.5</v>
      </c>
      <c r="J97" s="62">
        <f>I97*8</f>
        <v>68</v>
      </c>
      <c r="K97" s="23">
        <v>1</v>
      </c>
      <c r="L97" s="62">
        <f>K97*12</f>
        <v>12</v>
      </c>
      <c r="M97" s="62">
        <f>K97*4</f>
        <v>4</v>
      </c>
      <c r="N97" s="62">
        <f>M97+L97+J97</f>
        <v>84</v>
      </c>
      <c r="O97" s="25"/>
      <c r="P97" s="25"/>
      <c r="Q97" s="23"/>
      <c r="R97" s="23"/>
      <c r="S97" s="23"/>
      <c r="T97" s="32"/>
      <c r="U97" s="72"/>
    </row>
    <row r="98" spans="1:21" ht="21" customHeight="1">
      <c r="A98" s="34">
        <v>27</v>
      </c>
      <c r="B98" s="71" t="s">
        <v>332</v>
      </c>
      <c r="C98" s="12"/>
      <c r="D98" s="28"/>
      <c r="E98" s="28"/>
      <c r="F98" s="25">
        <v>8</v>
      </c>
      <c r="G98" s="61"/>
      <c r="H98" s="28"/>
      <c r="I98" s="61">
        <v>4.5</v>
      </c>
      <c r="J98" s="62">
        <f>I98*8</f>
        <v>36</v>
      </c>
      <c r="K98" s="23">
        <v>7</v>
      </c>
      <c r="L98" s="62">
        <f>K98*12</f>
        <v>84</v>
      </c>
      <c r="M98" s="62">
        <f>K98*4</f>
        <v>28</v>
      </c>
      <c r="N98" s="62">
        <f>M98+L98+J98</f>
        <v>148</v>
      </c>
      <c r="O98" s="25"/>
      <c r="P98" s="25"/>
      <c r="Q98" s="23"/>
      <c r="R98" s="23"/>
      <c r="S98" s="23"/>
      <c r="T98" s="32"/>
      <c r="U98" s="73"/>
    </row>
    <row r="99" spans="1:21" ht="21" customHeight="1">
      <c r="A99" s="34">
        <v>28</v>
      </c>
      <c r="B99" s="34" t="s">
        <v>333</v>
      </c>
      <c r="C99" s="12"/>
      <c r="D99" s="28"/>
      <c r="E99" s="28"/>
      <c r="F99" s="25">
        <v>32</v>
      </c>
      <c r="G99" s="61"/>
      <c r="H99" s="28"/>
      <c r="I99" s="61"/>
      <c r="J99" s="62"/>
      <c r="K99" s="23"/>
      <c r="L99" s="62"/>
      <c r="M99" s="62"/>
      <c r="N99" s="62"/>
      <c r="O99" s="25"/>
      <c r="P99" s="25"/>
      <c r="Q99" s="23"/>
      <c r="R99" s="23"/>
      <c r="S99" s="23"/>
      <c r="T99" s="32"/>
      <c r="U99" s="73"/>
    </row>
    <row r="100" spans="1:21" ht="21" customHeight="1">
      <c r="A100" s="34">
        <v>29</v>
      </c>
      <c r="B100" s="34" t="s">
        <v>334</v>
      </c>
      <c r="C100" s="12"/>
      <c r="D100" s="28"/>
      <c r="E100" s="28"/>
      <c r="F100" s="25"/>
      <c r="G100" s="61"/>
      <c r="H100" s="28"/>
      <c r="I100" s="61">
        <v>12.5</v>
      </c>
      <c r="J100" s="62">
        <f>I100*8</f>
        <v>100</v>
      </c>
      <c r="K100" s="23">
        <v>7</v>
      </c>
      <c r="L100" s="62">
        <f>K100*12</f>
        <v>84</v>
      </c>
      <c r="M100" s="62">
        <f>K100*4</f>
        <v>28</v>
      </c>
      <c r="N100" s="62">
        <f>M100+L100+J100</f>
        <v>212</v>
      </c>
      <c r="O100" s="25"/>
      <c r="P100" s="25"/>
      <c r="Q100" s="23"/>
      <c r="R100" s="23"/>
      <c r="S100" s="23"/>
      <c r="T100" s="32"/>
      <c r="U100" s="73"/>
    </row>
    <row r="101" spans="1:21" ht="21" customHeight="1">
      <c r="A101" s="34">
        <v>30</v>
      </c>
      <c r="B101" s="34" t="s">
        <v>335</v>
      </c>
      <c r="C101" s="12"/>
      <c r="D101" s="28"/>
      <c r="E101" s="28"/>
      <c r="F101" s="25"/>
      <c r="G101" s="61"/>
      <c r="H101" s="28"/>
      <c r="I101" s="61">
        <v>7</v>
      </c>
      <c r="J101" s="62">
        <f>I101*8</f>
        <v>56</v>
      </c>
      <c r="K101" s="23"/>
      <c r="L101" s="62"/>
      <c r="M101" s="62"/>
      <c r="N101" s="62">
        <f>M101+L101+J101</f>
        <v>56</v>
      </c>
      <c r="O101" s="25"/>
      <c r="P101" s="25"/>
      <c r="Q101" s="23"/>
      <c r="R101" s="23"/>
      <c r="S101" s="23"/>
      <c r="T101" s="32"/>
      <c r="U101" s="73"/>
    </row>
    <row r="102" spans="1:21" ht="21" customHeight="1">
      <c r="A102" s="34">
        <v>31</v>
      </c>
      <c r="B102" s="34" t="s">
        <v>336</v>
      </c>
      <c r="C102" s="12"/>
      <c r="D102" s="28"/>
      <c r="E102" s="28"/>
      <c r="F102" s="25">
        <v>8</v>
      </c>
      <c r="G102" s="61"/>
      <c r="H102" s="28"/>
      <c r="I102" s="61">
        <v>4</v>
      </c>
      <c r="J102" s="62">
        <f t="shared" ref="J102" si="0">I102*8</f>
        <v>32</v>
      </c>
      <c r="K102" s="23">
        <v>7</v>
      </c>
      <c r="L102" s="62">
        <f>K102*12</f>
        <v>84</v>
      </c>
      <c r="M102" s="62">
        <f>K102*4</f>
        <v>28</v>
      </c>
      <c r="N102" s="62">
        <f t="shared" ref="N102" si="1">M102+L102+J102</f>
        <v>144</v>
      </c>
      <c r="O102" s="25"/>
      <c r="P102" s="25"/>
      <c r="Q102" s="23"/>
      <c r="R102" s="23"/>
      <c r="S102" s="23"/>
      <c r="T102" s="32"/>
      <c r="U102" s="73"/>
    </row>
    <row r="103" spans="1:21" ht="21" customHeight="1">
      <c r="A103" s="34">
        <v>32</v>
      </c>
      <c r="B103" s="34" t="s">
        <v>337</v>
      </c>
      <c r="C103" s="36"/>
      <c r="D103" s="23" t="s">
        <v>436</v>
      </c>
      <c r="E103" s="27"/>
      <c r="F103" s="25"/>
      <c r="G103" s="28"/>
      <c r="H103" s="28"/>
      <c r="I103" s="61"/>
      <c r="J103" s="62"/>
      <c r="K103" s="23"/>
      <c r="L103" s="62"/>
      <c r="M103" s="62"/>
      <c r="N103" s="62"/>
      <c r="O103" s="25"/>
      <c r="P103" s="25"/>
      <c r="Q103" s="23"/>
      <c r="R103" s="23"/>
      <c r="S103" s="23"/>
      <c r="T103" s="32"/>
    </row>
    <row r="104" spans="1:21" ht="21" customHeight="1">
      <c r="A104" s="34">
        <v>33</v>
      </c>
      <c r="B104" s="34" t="s">
        <v>338</v>
      </c>
      <c r="C104" s="36"/>
      <c r="D104" s="23"/>
      <c r="E104" s="28"/>
      <c r="F104" s="25"/>
      <c r="G104" s="28"/>
      <c r="H104" s="28"/>
      <c r="I104" s="61"/>
      <c r="J104" s="62"/>
      <c r="K104" s="23"/>
      <c r="L104" s="62"/>
      <c r="M104" s="62"/>
      <c r="N104" s="62"/>
      <c r="O104" s="25"/>
      <c r="P104" s="25"/>
      <c r="Q104" s="23"/>
      <c r="R104" s="23"/>
      <c r="S104" s="23"/>
      <c r="T104" s="32"/>
    </row>
    <row r="105" spans="1:21" ht="21" customHeight="1">
      <c r="A105" s="34">
        <v>34</v>
      </c>
      <c r="B105" s="34" t="s">
        <v>339</v>
      </c>
      <c r="C105" s="36"/>
      <c r="D105" s="23"/>
      <c r="E105" s="27"/>
      <c r="F105" s="25"/>
      <c r="G105" s="28"/>
      <c r="H105" s="28"/>
      <c r="I105" s="61"/>
      <c r="J105" s="62"/>
      <c r="K105" s="23"/>
      <c r="L105" s="62"/>
      <c r="M105" s="62"/>
      <c r="N105" s="62"/>
      <c r="O105" s="25"/>
      <c r="P105" s="25"/>
      <c r="Q105" s="23"/>
      <c r="R105" s="23"/>
      <c r="S105" s="23"/>
      <c r="T105" s="32"/>
    </row>
    <row r="106" spans="1:21" ht="21" customHeight="1">
      <c r="A106" s="34">
        <v>35</v>
      </c>
      <c r="B106" s="34" t="s">
        <v>340</v>
      </c>
      <c r="C106" s="36"/>
      <c r="D106" s="23"/>
      <c r="E106" s="27"/>
      <c r="F106" s="25">
        <v>16</v>
      </c>
      <c r="G106" s="28"/>
      <c r="H106" s="28"/>
      <c r="I106" s="61">
        <v>5.5</v>
      </c>
      <c r="J106" s="62">
        <f t="shared" ref="J106:J108" si="2">I106*8</f>
        <v>44</v>
      </c>
      <c r="K106" s="23">
        <v>10</v>
      </c>
      <c r="L106" s="62">
        <f>K106*12</f>
        <v>120</v>
      </c>
      <c r="M106" s="62">
        <f>K106*4</f>
        <v>40</v>
      </c>
      <c r="N106" s="62">
        <f t="shared" ref="N106:N108" si="3">M106+L106+J106</f>
        <v>204</v>
      </c>
      <c r="O106" s="25"/>
      <c r="P106" s="25"/>
      <c r="Q106" s="23"/>
      <c r="R106" s="23"/>
      <c r="S106" s="23"/>
      <c r="T106" s="32"/>
    </row>
    <row r="107" spans="1:21" ht="21" customHeight="1">
      <c r="A107" s="34">
        <v>36</v>
      </c>
      <c r="B107" s="34" t="s">
        <v>341</v>
      </c>
      <c r="C107" s="36"/>
      <c r="D107" s="23"/>
      <c r="E107" s="27"/>
      <c r="F107" s="25"/>
      <c r="G107" s="28"/>
      <c r="H107" s="28"/>
      <c r="I107" s="61">
        <v>4</v>
      </c>
      <c r="J107" s="62">
        <f t="shared" si="2"/>
        <v>32</v>
      </c>
      <c r="K107" s="23">
        <v>3</v>
      </c>
      <c r="L107" s="62">
        <f>K107*12</f>
        <v>36</v>
      </c>
      <c r="M107" s="62">
        <f>K107*4</f>
        <v>12</v>
      </c>
      <c r="N107" s="62">
        <f t="shared" si="3"/>
        <v>80</v>
      </c>
      <c r="O107" s="25"/>
      <c r="P107" s="25"/>
      <c r="Q107" s="23"/>
      <c r="R107" s="23"/>
      <c r="S107" s="23"/>
      <c r="T107" s="32"/>
    </row>
    <row r="108" spans="1:21" ht="21" customHeight="1">
      <c r="A108" s="34">
        <v>37</v>
      </c>
      <c r="B108" s="34" t="s">
        <v>342</v>
      </c>
      <c r="C108" s="36"/>
      <c r="D108" s="23"/>
      <c r="E108" s="27"/>
      <c r="F108" s="25"/>
      <c r="G108" s="28"/>
      <c r="H108" s="28"/>
      <c r="I108" s="61">
        <v>5</v>
      </c>
      <c r="J108" s="62">
        <f t="shared" si="2"/>
        <v>40</v>
      </c>
      <c r="K108" s="23"/>
      <c r="L108" s="62"/>
      <c r="M108" s="62"/>
      <c r="N108" s="62">
        <f t="shared" si="3"/>
        <v>40</v>
      </c>
      <c r="O108" s="25"/>
      <c r="P108" s="25"/>
      <c r="Q108" s="23"/>
      <c r="R108" s="23"/>
      <c r="S108" s="23"/>
      <c r="T108" s="32"/>
    </row>
    <row r="109" spans="1:21" ht="21" customHeight="1">
      <c r="A109" s="63" t="s">
        <v>343</v>
      </c>
      <c r="B109" s="64"/>
      <c r="C109" s="12"/>
      <c r="D109" s="28"/>
      <c r="E109" s="28"/>
      <c r="F109" s="25"/>
      <c r="G109" s="28"/>
      <c r="H109" s="28"/>
      <c r="I109" s="61"/>
      <c r="J109" s="62"/>
      <c r="K109" s="28"/>
      <c r="L109" s="62"/>
      <c r="M109" s="62"/>
      <c r="N109" s="62"/>
      <c r="O109" s="25"/>
      <c r="P109" s="25"/>
      <c r="Q109" s="23"/>
      <c r="R109" s="23"/>
      <c r="S109" s="23"/>
      <c r="T109" s="32"/>
    </row>
    <row r="110" spans="1:21" ht="21" customHeight="1">
      <c r="A110" s="34">
        <v>1</v>
      </c>
      <c r="B110" s="34" t="s">
        <v>344</v>
      </c>
      <c r="C110" s="12"/>
      <c r="D110" s="28"/>
      <c r="E110" s="28"/>
      <c r="F110" s="25"/>
      <c r="G110" s="28"/>
      <c r="H110" s="27"/>
      <c r="I110" s="61"/>
      <c r="J110" s="62"/>
      <c r="K110" s="28"/>
      <c r="L110" s="62"/>
      <c r="M110" s="62"/>
      <c r="N110" s="62"/>
      <c r="O110" s="25"/>
      <c r="P110" s="25"/>
      <c r="Q110" s="23"/>
      <c r="R110" s="23"/>
      <c r="S110" s="23"/>
      <c r="T110" s="32"/>
    </row>
    <row r="111" spans="1:21" ht="21" customHeight="1">
      <c r="A111" s="34">
        <v>2</v>
      </c>
      <c r="B111" s="34" t="s">
        <v>345</v>
      </c>
      <c r="C111" s="12"/>
      <c r="D111" s="28"/>
      <c r="E111" s="28"/>
      <c r="F111" s="25"/>
      <c r="G111" s="28"/>
      <c r="H111" s="28"/>
      <c r="I111" s="61"/>
      <c r="J111" s="62"/>
      <c r="K111" s="28"/>
      <c r="L111" s="62"/>
      <c r="M111" s="62"/>
      <c r="N111" s="62"/>
      <c r="O111" s="25"/>
      <c r="P111" s="25"/>
      <c r="Q111" s="23"/>
      <c r="R111" s="23"/>
      <c r="S111" s="23"/>
      <c r="T111" s="32"/>
    </row>
    <row r="112" spans="1:21" ht="21" customHeight="1">
      <c r="A112" s="34">
        <v>3</v>
      </c>
      <c r="B112" s="34" t="s">
        <v>346</v>
      </c>
      <c r="C112" s="12"/>
      <c r="D112" s="28"/>
      <c r="E112" s="28"/>
      <c r="F112" s="25">
        <v>5.5</v>
      </c>
      <c r="G112" s="28"/>
      <c r="H112" s="28"/>
      <c r="I112" s="61"/>
      <c r="J112" s="62"/>
      <c r="K112" s="28"/>
      <c r="L112" s="62"/>
      <c r="M112" s="62"/>
      <c r="N112" s="62"/>
      <c r="O112" s="25"/>
      <c r="P112" s="25"/>
      <c r="Q112" s="23"/>
      <c r="R112" s="23"/>
      <c r="S112" s="23"/>
      <c r="T112" s="32"/>
    </row>
    <row r="113" spans="1:20" ht="21" customHeight="1">
      <c r="A113" s="34">
        <v>4</v>
      </c>
      <c r="B113" s="34" t="s">
        <v>347</v>
      </c>
      <c r="C113" s="12"/>
      <c r="D113" s="28"/>
      <c r="E113" s="28"/>
      <c r="F113" s="25">
        <v>3</v>
      </c>
      <c r="G113" s="61"/>
      <c r="H113" s="28"/>
      <c r="I113" s="61"/>
      <c r="J113" s="62"/>
      <c r="K113" s="28"/>
      <c r="L113" s="62"/>
      <c r="M113" s="62"/>
      <c r="N113" s="62"/>
      <c r="O113" s="25"/>
      <c r="P113" s="25"/>
      <c r="Q113" s="23"/>
      <c r="R113" s="23"/>
      <c r="S113" s="23"/>
      <c r="T113" s="32"/>
    </row>
    <row r="114" spans="1:20" ht="21" customHeight="1">
      <c r="A114" s="34">
        <v>5</v>
      </c>
      <c r="B114" s="34" t="s">
        <v>348</v>
      </c>
      <c r="C114" s="12" t="s">
        <v>431</v>
      </c>
      <c r="D114" s="28"/>
      <c r="E114" s="28"/>
      <c r="F114" s="25">
        <v>8</v>
      </c>
      <c r="G114" s="28"/>
      <c r="H114" s="28"/>
      <c r="I114" s="61"/>
      <c r="J114" s="62"/>
      <c r="K114" s="28"/>
      <c r="L114" s="62"/>
      <c r="M114" s="62"/>
      <c r="N114" s="62"/>
      <c r="O114" s="25"/>
      <c r="P114" s="25"/>
      <c r="Q114" s="23"/>
      <c r="R114" s="23"/>
      <c r="S114" s="23"/>
      <c r="T114" s="32"/>
    </row>
    <row r="115" spans="1:20" ht="21" customHeight="1">
      <c r="A115" s="34">
        <v>6</v>
      </c>
      <c r="B115" s="34" t="s">
        <v>349</v>
      </c>
      <c r="C115" s="12"/>
      <c r="D115" s="28"/>
      <c r="E115" s="28"/>
      <c r="F115" s="25"/>
      <c r="G115" s="28"/>
      <c r="H115" s="28"/>
      <c r="I115" s="61"/>
      <c r="J115" s="62"/>
      <c r="K115" s="28"/>
      <c r="L115" s="62"/>
      <c r="M115" s="62"/>
      <c r="N115" s="62"/>
      <c r="O115" s="25"/>
      <c r="P115" s="25"/>
      <c r="Q115" s="23"/>
      <c r="R115" s="23"/>
      <c r="S115" s="23"/>
      <c r="T115" s="32"/>
    </row>
    <row r="116" spans="1:20" ht="21" customHeight="1">
      <c r="A116" s="34">
        <v>7</v>
      </c>
      <c r="B116" s="34" t="s">
        <v>350</v>
      </c>
      <c r="C116" s="12"/>
      <c r="D116" s="28"/>
      <c r="E116" s="28"/>
      <c r="F116" s="25"/>
      <c r="G116" s="28"/>
      <c r="H116" s="28"/>
      <c r="I116" s="61"/>
      <c r="J116" s="62"/>
      <c r="K116" s="28"/>
      <c r="L116" s="62"/>
      <c r="M116" s="62"/>
      <c r="N116" s="62"/>
      <c r="O116" s="25"/>
      <c r="P116" s="25"/>
      <c r="Q116" s="23"/>
      <c r="R116" s="23"/>
      <c r="S116" s="23"/>
      <c r="T116" s="35"/>
    </row>
    <row r="117" spans="1:20" ht="21" customHeight="1">
      <c r="A117" s="34">
        <v>8</v>
      </c>
      <c r="B117" s="34" t="s">
        <v>351</v>
      </c>
      <c r="C117" s="12">
        <v>16</v>
      </c>
      <c r="D117" s="28"/>
      <c r="E117" s="28"/>
      <c r="F117" s="25"/>
      <c r="G117" s="28"/>
      <c r="H117" s="28"/>
      <c r="I117" s="61"/>
      <c r="J117" s="62"/>
      <c r="K117" s="28"/>
      <c r="L117" s="62"/>
      <c r="M117" s="62"/>
      <c r="N117" s="62"/>
      <c r="O117" s="25"/>
      <c r="P117" s="25"/>
      <c r="Q117" s="23"/>
      <c r="R117" s="23"/>
      <c r="S117" s="23"/>
      <c r="T117" s="35"/>
    </row>
    <row r="118" spans="1:20" ht="21" customHeight="1">
      <c r="A118" s="34">
        <v>9</v>
      </c>
      <c r="B118" s="34" t="s">
        <v>352</v>
      </c>
      <c r="C118" s="12"/>
      <c r="D118" s="28"/>
      <c r="E118" s="28"/>
      <c r="F118" s="25"/>
      <c r="G118" s="28"/>
      <c r="H118" s="28"/>
      <c r="I118" s="61"/>
      <c r="J118" s="62"/>
      <c r="K118" s="28"/>
      <c r="L118" s="62"/>
      <c r="M118" s="62"/>
      <c r="N118" s="62"/>
      <c r="O118" s="25"/>
      <c r="P118" s="25"/>
      <c r="Q118" s="23"/>
      <c r="R118" s="23"/>
      <c r="S118" s="23"/>
      <c r="T118" s="35"/>
    </row>
    <row r="119" spans="1:20" ht="21" customHeight="1">
      <c r="A119" s="34">
        <v>10</v>
      </c>
      <c r="B119" s="34" t="s">
        <v>353</v>
      </c>
      <c r="C119" s="12"/>
      <c r="D119" s="28"/>
      <c r="E119" s="28"/>
      <c r="F119" s="25">
        <v>0.5</v>
      </c>
      <c r="G119" s="28"/>
      <c r="H119" s="28"/>
      <c r="I119" s="61"/>
      <c r="J119" s="62"/>
      <c r="K119" s="23"/>
      <c r="L119" s="62"/>
      <c r="M119" s="62"/>
      <c r="N119" s="62"/>
      <c r="O119" s="25"/>
      <c r="P119" s="25"/>
      <c r="Q119" s="23"/>
      <c r="R119" s="23"/>
      <c r="S119" s="23"/>
      <c r="T119" s="35"/>
    </row>
    <row r="120" spans="1:20" ht="21" customHeight="1">
      <c r="A120" s="34">
        <v>11</v>
      </c>
      <c r="B120" s="34" t="s">
        <v>354</v>
      </c>
      <c r="C120" s="12"/>
      <c r="D120" s="28"/>
      <c r="E120" s="28"/>
      <c r="F120" s="25"/>
      <c r="G120" s="28"/>
      <c r="H120" s="28"/>
      <c r="I120" s="61"/>
      <c r="J120" s="62"/>
      <c r="K120" s="28"/>
      <c r="L120" s="62"/>
      <c r="M120" s="62"/>
      <c r="N120" s="62"/>
      <c r="O120" s="25"/>
      <c r="P120" s="25"/>
      <c r="Q120" s="23"/>
      <c r="R120" s="23"/>
      <c r="S120" s="23"/>
      <c r="T120" s="35"/>
    </row>
    <row r="121" spans="1:20" ht="21" customHeight="1">
      <c r="A121" s="34">
        <v>12</v>
      </c>
      <c r="B121" s="34" t="s">
        <v>355</v>
      </c>
      <c r="C121" s="12"/>
      <c r="D121" s="28"/>
      <c r="E121" s="28"/>
      <c r="F121" s="25">
        <v>16</v>
      </c>
      <c r="G121" s="28"/>
      <c r="H121" s="28"/>
      <c r="I121" s="61"/>
      <c r="J121" s="62"/>
      <c r="K121" s="28"/>
      <c r="L121" s="62"/>
      <c r="M121" s="62"/>
      <c r="N121" s="62"/>
      <c r="O121" s="25"/>
      <c r="P121" s="25"/>
      <c r="Q121" s="23"/>
      <c r="R121" s="23"/>
      <c r="S121" s="23"/>
      <c r="T121" s="35"/>
    </row>
    <row r="122" spans="1:20" ht="21" customHeight="1">
      <c r="A122" s="63" t="s">
        <v>22</v>
      </c>
      <c r="B122" s="64"/>
      <c r="C122" s="12"/>
      <c r="D122" s="28"/>
      <c r="E122" s="28"/>
      <c r="F122" s="25"/>
      <c r="G122" s="28"/>
      <c r="H122" s="28"/>
      <c r="I122" s="61"/>
      <c r="J122" s="62"/>
      <c r="K122" s="28"/>
      <c r="L122" s="62"/>
      <c r="M122" s="62"/>
      <c r="N122" s="62"/>
      <c r="O122" s="25"/>
      <c r="P122" s="25"/>
      <c r="Q122" s="23"/>
      <c r="R122" s="23"/>
      <c r="S122" s="23"/>
      <c r="T122" s="32"/>
    </row>
    <row r="123" spans="1:20" ht="21" customHeight="1">
      <c r="A123" s="34">
        <v>1</v>
      </c>
      <c r="B123" s="34" t="s">
        <v>356</v>
      </c>
      <c r="C123" s="12">
        <v>5</v>
      </c>
      <c r="D123" s="28"/>
      <c r="E123" s="28"/>
      <c r="F123" s="25"/>
      <c r="G123" s="28"/>
      <c r="H123" s="28"/>
      <c r="I123" s="61"/>
      <c r="J123" s="62"/>
      <c r="K123" s="28"/>
      <c r="L123" s="62"/>
      <c r="M123" s="62"/>
      <c r="N123" s="62"/>
      <c r="O123" s="25"/>
      <c r="P123" s="25"/>
      <c r="Q123" s="23"/>
      <c r="R123" s="23"/>
      <c r="S123" s="23"/>
      <c r="T123" s="32"/>
    </row>
    <row r="124" spans="1:20" ht="21" customHeight="1">
      <c r="A124" s="34">
        <v>2</v>
      </c>
      <c r="B124" s="34" t="s">
        <v>357</v>
      </c>
      <c r="C124" s="12" t="s">
        <v>431</v>
      </c>
      <c r="D124" s="28"/>
      <c r="E124" s="28"/>
      <c r="F124" s="25"/>
      <c r="G124" s="28"/>
      <c r="H124" s="28"/>
      <c r="I124" s="61"/>
      <c r="J124" s="62"/>
      <c r="K124" s="28"/>
      <c r="L124" s="62"/>
      <c r="M124" s="62"/>
      <c r="N124" s="62"/>
      <c r="O124" s="25"/>
      <c r="P124" s="25"/>
      <c r="Q124" s="23"/>
      <c r="R124" s="23"/>
      <c r="S124" s="23"/>
      <c r="T124" s="32"/>
    </row>
    <row r="125" spans="1:20" ht="21" customHeight="1">
      <c r="A125" s="34">
        <v>3</v>
      </c>
      <c r="B125" s="34" t="s">
        <v>358</v>
      </c>
      <c r="C125" s="12"/>
      <c r="D125" s="28"/>
      <c r="E125" s="28"/>
      <c r="F125" s="25"/>
      <c r="G125" s="28"/>
      <c r="H125" s="28"/>
      <c r="I125" s="61"/>
      <c r="J125" s="62"/>
      <c r="K125" s="28"/>
      <c r="L125" s="62"/>
      <c r="M125" s="62"/>
      <c r="N125" s="62"/>
      <c r="O125" s="25"/>
      <c r="P125" s="25"/>
      <c r="Q125" s="23"/>
      <c r="R125" s="23"/>
      <c r="S125" s="23"/>
      <c r="T125" s="32"/>
    </row>
    <row r="126" spans="1:20" ht="21" customHeight="1">
      <c r="A126" s="34">
        <v>4</v>
      </c>
      <c r="B126" s="34" t="s">
        <v>359</v>
      </c>
      <c r="C126" s="12"/>
      <c r="D126" s="28"/>
      <c r="E126" s="28"/>
      <c r="F126" s="25">
        <v>6.5</v>
      </c>
      <c r="G126" s="28"/>
      <c r="H126" s="28"/>
      <c r="I126" s="61"/>
      <c r="J126" s="62"/>
      <c r="K126" s="28"/>
      <c r="L126" s="62"/>
      <c r="M126" s="62"/>
      <c r="N126" s="62"/>
      <c r="O126" s="25"/>
      <c r="P126" s="25"/>
      <c r="Q126" s="23"/>
      <c r="R126" s="23"/>
      <c r="S126" s="23"/>
      <c r="T126" s="32"/>
    </row>
    <row r="127" spans="1:20" ht="21" customHeight="1">
      <c r="A127" s="34">
        <v>5</v>
      </c>
      <c r="B127" s="34" t="s">
        <v>360</v>
      </c>
      <c r="C127" s="12"/>
      <c r="D127" s="28"/>
      <c r="E127" s="28"/>
      <c r="F127" s="25">
        <v>6.5</v>
      </c>
      <c r="G127" s="28"/>
      <c r="H127" s="28"/>
      <c r="I127" s="61"/>
      <c r="J127" s="62"/>
      <c r="K127" s="28"/>
      <c r="L127" s="62"/>
      <c r="M127" s="62"/>
      <c r="N127" s="62"/>
      <c r="O127" s="25"/>
      <c r="P127" s="25"/>
      <c r="Q127" s="23"/>
      <c r="R127" s="23"/>
      <c r="S127" s="23"/>
      <c r="T127" s="32"/>
    </row>
    <row r="128" spans="1:20" ht="21" customHeight="1">
      <c r="A128" s="34">
        <v>6</v>
      </c>
      <c r="B128" s="11" t="s">
        <v>361</v>
      </c>
      <c r="C128" s="12"/>
      <c r="D128" s="29"/>
      <c r="E128" s="28"/>
      <c r="F128" s="25">
        <v>8</v>
      </c>
      <c r="G128" s="28"/>
      <c r="H128" s="28"/>
      <c r="I128" s="61"/>
      <c r="J128" s="62"/>
      <c r="K128" s="28"/>
      <c r="L128" s="62"/>
      <c r="M128" s="62"/>
      <c r="N128" s="62"/>
      <c r="O128" s="25"/>
      <c r="P128" s="25"/>
      <c r="Q128" s="23"/>
      <c r="R128" s="23"/>
      <c r="S128" s="23"/>
      <c r="T128" s="32"/>
    </row>
    <row r="129" spans="1:20" ht="21" customHeight="1">
      <c r="A129" s="34">
        <v>7</v>
      </c>
      <c r="B129" s="11" t="s">
        <v>362</v>
      </c>
      <c r="C129" s="36">
        <v>24</v>
      </c>
      <c r="D129" s="28"/>
      <c r="E129" s="28"/>
      <c r="F129" s="25"/>
      <c r="G129" s="28"/>
      <c r="H129" s="28"/>
      <c r="I129" s="61"/>
      <c r="J129" s="62"/>
      <c r="K129" s="28"/>
      <c r="L129" s="62"/>
      <c r="M129" s="62"/>
      <c r="N129" s="62"/>
      <c r="O129" s="25"/>
      <c r="P129" s="25"/>
      <c r="Q129" s="23"/>
      <c r="R129" s="23"/>
      <c r="S129" s="23"/>
      <c r="T129" s="32"/>
    </row>
    <row r="130" spans="1:20" ht="21" customHeight="1">
      <c r="A130" s="34">
        <v>8</v>
      </c>
      <c r="B130" s="11" t="s">
        <v>363</v>
      </c>
      <c r="C130" s="36"/>
      <c r="D130" s="28"/>
      <c r="E130" s="28"/>
      <c r="F130" s="25">
        <v>8</v>
      </c>
      <c r="G130" s="28"/>
      <c r="H130" s="28"/>
      <c r="I130" s="61">
        <v>2</v>
      </c>
      <c r="J130" s="62">
        <f>I130*8</f>
        <v>16</v>
      </c>
      <c r="K130" s="28"/>
      <c r="L130" s="62"/>
      <c r="M130" s="62"/>
      <c r="N130" s="62">
        <f>M130+L130+J130</f>
        <v>16</v>
      </c>
      <c r="O130" s="25"/>
      <c r="P130" s="25"/>
      <c r="Q130" s="23"/>
      <c r="R130" s="23"/>
      <c r="S130" s="23"/>
      <c r="T130" s="32"/>
    </row>
    <row r="131" spans="1:20" ht="21" customHeight="1">
      <c r="A131" s="34">
        <v>9</v>
      </c>
      <c r="B131" s="11" t="s">
        <v>364</v>
      </c>
      <c r="C131" s="36">
        <v>6</v>
      </c>
      <c r="D131" s="28"/>
      <c r="E131" s="28"/>
      <c r="F131" s="25"/>
      <c r="G131" s="28"/>
      <c r="H131" s="28"/>
      <c r="I131" s="61"/>
      <c r="J131" s="62"/>
      <c r="K131" s="28"/>
      <c r="L131" s="62"/>
      <c r="M131" s="62"/>
      <c r="N131" s="62"/>
      <c r="O131" s="25"/>
      <c r="P131" s="25"/>
      <c r="Q131" s="23"/>
      <c r="R131" s="23"/>
      <c r="S131" s="23"/>
      <c r="T131" s="32"/>
    </row>
    <row r="132" spans="1:20" ht="21" customHeight="1">
      <c r="A132" s="34">
        <v>10</v>
      </c>
      <c r="B132" s="11" t="s">
        <v>365</v>
      </c>
      <c r="C132" s="36"/>
      <c r="D132" s="28"/>
      <c r="E132" s="28"/>
      <c r="F132" s="25"/>
      <c r="G132" s="28">
        <v>2.5</v>
      </c>
      <c r="H132" s="28"/>
      <c r="I132" s="61"/>
      <c r="J132" s="62"/>
      <c r="K132" s="28"/>
      <c r="L132" s="62"/>
      <c r="M132" s="62"/>
      <c r="N132" s="62"/>
      <c r="O132" s="25"/>
      <c r="P132" s="25"/>
      <c r="Q132" s="23"/>
      <c r="R132" s="23"/>
      <c r="S132" s="23"/>
      <c r="T132" s="32"/>
    </row>
    <row r="133" spans="1:20" ht="21" customHeight="1">
      <c r="A133" s="34">
        <v>11</v>
      </c>
      <c r="B133" s="11" t="s">
        <v>366</v>
      </c>
      <c r="C133" s="36"/>
      <c r="D133" s="28"/>
      <c r="E133" s="28"/>
      <c r="F133" s="25">
        <v>18</v>
      </c>
      <c r="G133" s="28"/>
      <c r="H133" s="28"/>
      <c r="I133" s="61">
        <v>2</v>
      </c>
      <c r="J133" s="62">
        <f>I133*8</f>
        <v>16</v>
      </c>
      <c r="K133" s="23"/>
      <c r="L133" s="62"/>
      <c r="M133" s="62"/>
      <c r="N133" s="62">
        <f>M133+L133+J133</f>
        <v>16</v>
      </c>
      <c r="O133" s="25"/>
      <c r="P133" s="25"/>
      <c r="Q133" s="23"/>
      <c r="R133" s="23"/>
      <c r="S133" s="23"/>
      <c r="T133" s="32"/>
    </row>
    <row r="134" spans="1:20" ht="21" customHeight="1">
      <c r="A134" s="34">
        <v>12</v>
      </c>
      <c r="B134" s="11" t="s">
        <v>367</v>
      </c>
      <c r="C134" s="36"/>
      <c r="D134" s="28"/>
      <c r="E134" s="28"/>
      <c r="F134" s="25">
        <v>24</v>
      </c>
      <c r="G134" s="28"/>
      <c r="H134" s="28"/>
      <c r="I134" s="61">
        <v>6</v>
      </c>
      <c r="J134" s="62">
        <f>I134*8</f>
        <v>48</v>
      </c>
      <c r="K134" s="23"/>
      <c r="L134" s="62"/>
      <c r="M134" s="62"/>
      <c r="N134" s="62">
        <f>M134+L134+J134</f>
        <v>48</v>
      </c>
      <c r="O134" s="25"/>
      <c r="P134" s="25"/>
      <c r="Q134" s="23"/>
      <c r="R134" s="23"/>
      <c r="S134" s="23"/>
      <c r="T134" s="32"/>
    </row>
    <row r="135" spans="1:20" ht="21" customHeight="1">
      <c r="A135" s="34">
        <v>13</v>
      </c>
      <c r="B135" s="11" t="s">
        <v>368</v>
      </c>
      <c r="C135" s="36"/>
      <c r="D135" s="28"/>
      <c r="E135" s="28"/>
      <c r="F135" s="25"/>
      <c r="G135" s="28"/>
      <c r="H135" s="28"/>
      <c r="I135" s="61"/>
      <c r="J135" s="62"/>
      <c r="K135" s="28"/>
      <c r="L135" s="62"/>
      <c r="M135" s="62"/>
      <c r="N135" s="62"/>
      <c r="O135" s="25"/>
      <c r="P135" s="25"/>
      <c r="Q135" s="23"/>
      <c r="R135" s="23"/>
      <c r="S135" s="23"/>
      <c r="T135" s="32"/>
    </row>
    <row r="136" spans="1:20" ht="21" customHeight="1">
      <c r="A136" s="34">
        <v>14</v>
      </c>
      <c r="B136" s="11" t="s">
        <v>369</v>
      </c>
      <c r="C136" s="36"/>
      <c r="D136" s="28"/>
      <c r="E136" s="28"/>
      <c r="F136" s="25"/>
      <c r="G136" s="28"/>
      <c r="H136" s="28"/>
      <c r="I136" s="61"/>
      <c r="J136" s="62"/>
      <c r="K136" s="28"/>
      <c r="L136" s="62"/>
      <c r="M136" s="62"/>
      <c r="N136" s="62"/>
      <c r="O136" s="25"/>
      <c r="P136" s="25"/>
      <c r="Q136" s="23"/>
      <c r="R136" s="23"/>
      <c r="S136" s="23"/>
      <c r="T136" s="32"/>
    </row>
    <row r="137" spans="1:20" ht="21" customHeight="1">
      <c r="A137" s="34">
        <v>15</v>
      </c>
      <c r="B137" s="11" t="s">
        <v>370</v>
      </c>
      <c r="C137" s="36"/>
      <c r="D137" s="28"/>
      <c r="E137" s="28"/>
      <c r="F137" s="25"/>
      <c r="G137" s="28"/>
      <c r="H137" s="28"/>
      <c r="I137" s="61"/>
      <c r="J137" s="62"/>
      <c r="K137" s="28"/>
      <c r="L137" s="62"/>
      <c r="M137" s="62"/>
      <c r="N137" s="62"/>
      <c r="O137" s="25"/>
      <c r="P137" s="25"/>
      <c r="Q137" s="23"/>
      <c r="R137" s="23"/>
      <c r="S137" s="23"/>
      <c r="T137" s="32"/>
    </row>
    <row r="138" spans="1:20" ht="21" customHeight="1">
      <c r="A138" s="63" t="s">
        <v>371</v>
      </c>
      <c r="B138" s="64"/>
      <c r="C138" s="65"/>
      <c r="D138" s="28"/>
      <c r="E138" s="28"/>
      <c r="F138" s="25"/>
      <c r="G138" s="28"/>
      <c r="H138" s="28"/>
      <c r="I138" s="61"/>
      <c r="J138" s="62"/>
      <c r="K138" s="28"/>
      <c r="L138" s="62"/>
      <c r="M138" s="62"/>
      <c r="N138" s="62"/>
      <c r="O138" s="25"/>
      <c r="P138" s="25"/>
      <c r="Q138" s="23"/>
      <c r="R138" s="23"/>
      <c r="S138" s="23"/>
      <c r="T138" s="32"/>
    </row>
    <row r="139" spans="1:20" ht="21" customHeight="1">
      <c r="A139" s="34">
        <v>1</v>
      </c>
      <c r="B139" s="11" t="s">
        <v>372</v>
      </c>
      <c r="C139" s="36"/>
      <c r="D139" s="28"/>
      <c r="E139" s="28"/>
      <c r="F139" s="25"/>
      <c r="G139" s="28"/>
      <c r="H139" s="28"/>
      <c r="I139" s="61"/>
      <c r="J139" s="62"/>
      <c r="K139" s="28"/>
      <c r="L139" s="62"/>
      <c r="M139" s="62"/>
      <c r="N139" s="62"/>
      <c r="O139" s="25"/>
      <c r="P139" s="25"/>
      <c r="Q139" s="23"/>
      <c r="R139" s="23"/>
      <c r="S139" s="23"/>
      <c r="T139" s="32"/>
    </row>
    <row r="140" spans="1:20" ht="21" customHeight="1">
      <c r="A140" s="34">
        <v>2</v>
      </c>
      <c r="B140" s="34" t="s">
        <v>373</v>
      </c>
      <c r="C140" s="12"/>
      <c r="D140" s="28"/>
      <c r="E140" s="28"/>
      <c r="F140" s="25"/>
      <c r="G140" s="28"/>
      <c r="H140" s="28"/>
      <c r="I140" s="61"/>
      <c r="J140" s="62"/>
      <c r="K140" s="23"/>
      <c r="L140" s="62"/>
      <c r="M140" s="62"/>
      <c r="N140" s="62"/>
      <c r="O140" s="25"/>
      <c r="P140" s="25"/>
      <c r="Q140" s="23"/>
      <c r="R140" s="23"/>
      <c r="S140" s="23"/>
      <c r="T140" s="32"/>
    </row>
    <row r="141" spans="1:20" ht="21" customHeight="1">
      <c r="A141" s="34">
        <v>3</v>
      </c>
      <c r="B141" s="11" t="s">
        <v>374</v>
      </c>
      <c r="C141" s="36"/>
      <c r="D141" s="28"/>
      <c r="E141" s="28">
        <v>8</v>
      </c>
      <c r="F141" s="25"/>
      <c r="G141" s="28"/>
      <c r="H141" s="28"/>
      <c r="I141" s="61"/>
      <c r="J141" s="62"/>
      <c r="K141" s="28"/>
      <c r="L141" s="62"/>
      <c r="M141" s="62"/>
      <c r="N141" s="62"/>
      <c r="O141" s="25"/>
      <c r="P141" s="25"/>
      <c r="Q141" s="23"/>
      <c r="R141" s="23"/>
      <c r="S141" s="23"/>
      <c r="T141" s="32"/>
    </row>
    <row r="142" spans="1:20" ht="21" customHeight="1">
      <c r="A142" s="34">
        <v>4</v>
      </c>
      <c r="B142" s="11" t="s">
        <v>375</v>
      </c>
      <c r="C142" s="36">
        <v>19</v>
      </c>
      <c r="D142" s="28"/>
      <c r="E142" s="28"/>
      <c r="F142" s="25"/>
      <c r="G142" s="28"/>
      <c r="H142" s="28"/>
      <c r="I142" s="61"/>
      <c r="J142" s="62"/>
      <c r="K142" s="28"/>
      <c r="L142" s="62"/>
      <c r="M142" s="62"/>
      <c r="N142" s="62"/>
      <c r="O142" s="25"/>
      <c r="P142" s="25"/>
      <c r="Q142" s="23"/>
      <c r="R142" s="23"/>
      <c r="S142" s="23"/>
      <c r="T142" s="32"/>
    </row>
    <row r="143" spans="1:20" ht="21" customHeight="1">
      <c r="A143" s="34">
        <v>5</v>
      </c>
      <c r="B143" s="34" t="s">
        <v>376</v>
      </c>
      <c r="C143" s="36"/>
      <c r="D143" s="28"/>
      <c r="E143" s="28"/>
      <c r="F143" s="25"/>
      <c r="G143" s="28"/>
      <c r="H143" s="28"/>
      <c r="I143" s="61"/>
      <c r="J143" s="62"/>
      <c r="K143" s="28"/>
      <c r="L143" s="62"/>
      <c r="M143" s="62"/>
      <c r="N143" s="62"/>
      <c r="O143" s="25"/>
      <c r="P143" s="25"/>
      <c r="Q143" s="23"/>
      <c r="R143" s="23"/>
      <c r="S143" s="23"/>
      <c r="T143" s="32"/>
    </row>
    <row r="144" spans="1:20" ht="21" customHeight="1">
      <c r="A144" s="34">
        <v>6</v>
      </c>
      <c r="B144" s="34" t="s">
        <v>377</v>
      </c>
      <c r="D144" s="28"/>
      <c r="E144" s="28"/>
      <c r="F144" s="25"/>
      <c r="G144" s="28"/>
      <c r="H144" s="28"/>
      <c r="I144" s="61">
        <v>10</v>
      </c>
      <c r="J144" s="62">
        <f>I144*8</f>
        <v>80</v>
      </c>
      <c r="K144" s="23"/>
      <c r="L144" s="62"/>
      <c r="M144" s="62"/>
      <c r="N144" s="62">
        <f>M144+L144+J144</f>
        <v>80</v>
      </c>
      <c r="O144" s="25"/>
      <c r="P144" s="25"/>
      <c r="Q144" s="23"/>
      <c r="R144" s="23"/>
      <c r="S144" s="23"/>
      <c r="T144" s="32"/>
    </row>
    <row r="145" spans="1:22" ht="21" customHeight="1">
      <c r="A145" s="34">
        <v>7</v>
      </c>
      <c r="B145" s="34" t="s">
        <v>378</v>
      </c>
      <c r="C145" s="36"/>
      <c r="D145" s="28"/>
      <c r="E145" s="28"/>
      <c r="F145" s="25"/>
      <c r="G145" s="28"/>
      <c r="H145" s="28"/>
      <c r="I145" s="61">
        <v>7</v>
      </c>
      <c r="J145" s="62">
        <f>I145*8</f>
        <v>56</v>
      </c>
      <c r="K145" s="23"/>
      <c r="L145" s="62"/>
      <c r="M145" s="62"/>
      <c r="N145" s="62">
        <f>M145+L145+J145</f>
        <v>56</v>
      </c>
      <c r="O145" s="25"/>
      <c r="P145" s="25"/>
      <c r="Q145" s="23"/>
      <c r="R145" s="23"/>
      <c r="S145" s="23"/>
      <c r="T145" s="32"/>
      <c r="U145" s="72"/>
    </row>
    <row r="146" spans="1:22" ht="21" customHeight="1">
      <c r="A146" s="34">
        <v>8</v>
      </c>
      <c r="B146" s="71" t="s">
        <v>379</v>
      </c>
      <c r="C146" s="12"/>
      <c r="D146" s="28"/>
      <c r="E146" s="28"/>
      <c r="F146" s="25">
        <v>5</v>
      </c>
      <c r="G146" s="28"/>
      <c r="H146" s="28"/>
      <c r="I146" s="61"/>
      <c r="J146" s="62"/>
      <c r="K146" s="28"/>
      <c r="L146" s="62"/>
      <c r="M146" s="62"/>
      <c r="N146" s="62"/>
      <c r="O146" s="25"/>
      <c r="P146" s="25"/>
      <c r="Q146" s="23"/>
      <c r="R146" s="23"/>
      <c r="S146" s="23"/>
      <c r="T146" s="32"/>
    </row>
    <row r="147" spans="1:22" ht="21" customHeight="1">
      <c r="A147" s="34">
        <v>9</v>
      </c>
      <c r="B147" s="34" t="s">
        <v>380</v>
      </c>
      <c r="C147" s="12"/>
      <c r="D147" s="28"/>
      <c r="E147" s="28"/>
      <c r="F147" s="25"/>
      <c r="G147" s="23"/>
      <c r="H147" s="23"/>
      <c r="I147" s="23"/>
      <c r="J147" s="62"/>
      <c r="K147" s="28"/>
      <c r="L147" s="62"/>
      <c r="M147" s="62"/>
      <c r="N147" s="62"/>
      <c r="O147" s="25"/>
      <c r="P147" s="25"/>
      <c r="Q147" s="23"/>
      <c r="R147" s="23"/>
      <c r="S147" s="23"/>
      <c r="T147" s="34"/>
      <c r="U147" s="72"/>
    </row>
    <row r="148" spans="1:22" ht="21" customHeight="1">
      <c r="A148" s="34">
        <v>10</v>
      </c>
      <c r="B148" s="11" t="s">
        <v>381</v>
      </c>
      <c r="C148" s="36">
        <v>26</v>
      </c>
      <c r="D148" s="28"/>
      <c r="E148" s="28"/>
      <c r="F148" s="25"/>
      <c r="G148" s="28"/>
      <c r="H148" s="28"/>
      <c r="I148" s="61"/>
      <c r="J148" s="62"/>
      <c r="K148" s="28"/>
      <c r="L148" s="62"/>
      <c r="M148" s="62"/>
      <c r="N148" s="62"/>
      <c r="O148" s="25"/>
      <c r="P148" s="25"/>
      <c r="Q148" s="23"/>
      <c r="R148" s="23"/>
      <c r="S148" s="23"/>
      <c r="T148" s="32"/>
    </row>
    <row r="149" spans="1:22" ht="21" customHeight="1">
      <c r="A149" s="34">
        <v>11</v>
      </c>
      <c r="B149" s="34" t="s">
        <v>382</v>
      </c>
      <c r="C149" s="12"/>
      <c r="D149" s="28"/>
      <c r="E149" s="28"/>
      <c r="F149" s="25">
        <v>16</v>
      </c>
      <c r="G149" s="61"/>
      <c r="H149" s="23"/>
      <c r="I149" s="25">
        <v>7</v>
      </c>
      <c r="J149" s="62">
        <f>I149*8</f>
        <v>56</v>
      </c>
      <c r="K149" s="23"/>
      <c r="L149" s="62"/>
      <c r="M149" s="62"/>
      <c r="N149" s="62">
        <f>M149+L149+J149</f>
        <v>56</v>
      </c>
      <c r="O149" s="25"/>
      <c r="P149" s="25"/>
      <c r="Q149" s="23"/>
      <c r="R149" s="23"/>
      <c r="S149" s="23"/>
      <c r="T149" s="34"/>
      <c r="U149" s="74"/>
      <c r="V149" s="72"/>
    </row>
    <row r="150" spans="1:22" ht="21" customHeight="1">
      <c r="A150" s="34">
        <v>12</v>
      </c>
      <c r="B150" s="71" t="s">
        <v>383</v>
      </c>
      <c r="C150" s="12"/>
      <c r="D150" s="28"/>
      <c r="E150" s="28"/>
      <c r="F150" s="25">
        <v>8</v>
      </c>
      <c r="G150" s="28"/>
      <c r="H150" s="28"/>
      <c r="I150" s="61">
        <v>6</v>
      </c>
      <c r="J150" s="62">
        <f>I150*8</f>
        <v>48</v>
      </c>
      <c r="K150" s="23"/>
      <c r="L150" s="62"/>
      <c r="M150" s="62"/>
      <c r="N150" s="62">
        <f>M150+L150+J150</f>
        <v>48</v>
      </c>
      <c r="O150" s="25"/>
      <c r="P150" s="25"/>
      <c r="Q150" s="23"/>
      <c r="R150" s="23"/>
      <c r="S150" s="23"/>
      <c r="T150" s="32"/>
    </row>
    <row r="151" spans="1:22" ht="21" customHeight="1">
      <c r="A151" s="34">
        <v>13</v>
      </c>
      <c r="B151" s="34" t="s">
        <v>384</v>
      </c>
      <c r="C151" s="12">
        <v>29</v>
      </c>
      <c r="D151" s="28"/>
      <c r="E151" s="28"/>
      <c r="F151" s="25"/>
      <c r="G151" s="28"/>
      <c r="H151" s="28"/>
      <c r="I151" s="61"/>
      <c r="J151" s="62"/>
      <c r="K151" s="28"/>
      <c r="L151" s="62"/>
      <c r="M151" s="62"/>
      <c r="N151" s="62"/>
      <c r="O151" s="25"/>
      <c r="P151" s="25"/>
      <c r="Q151" s="23"/>
      <c r="R151" s="23"/>
      <c r="S151" s="23"/>
      <c r="T151" s="32"/>
    </row>
    <row r="152" spans="1:22" ht="21" customHeight="1">
      <c r="A152" s="34">
        <v>14</v>
      </c>
      <c r="B152" s="34" t="s">
        <v>385</v>
      </c>
      <c r="C152" s="12">
        <v>8</v>
      </c>
      <c r="D152" s="28"/>
      <c r="E152" s="28"/>
      <c r="F152" s="25"/>
      <c r="G152" s="28"/>
      <c r="H152" s="28"/>
      <c r="I152" s="61"/>
      <c r="J152" s="62"/>
      <c r="K152" s="28"/>
      <c r="L152" s="62"/>
      <c r="M152" s="62"/>
      <c r="N152" s="62"/>
      <c r="O152" s="25"/>
      <c r="P152" s="25"/>
      <c r="Q152" s="23"/>
      <c r="R152" s="23"/>
      <c r="S152" s="23"/>
      <c r="T152" s="32"/>
    </row>
    <row r="153" spans="1:22" ht="21" customHeight="1">
      <c r="A153" s="34">
        <v>15</v>
      </c>
      <c r="B153" s="71" t="s">
        <v>386</v>
      </c>
      <c r="C153" s="12"/>
      <c r="D153" s="28"/>
      <c r="E153" s="28"/>
      <c r="F153" s="25">
        <v>8</v>
      </c>
      <c r="G153" s="28">
        <v>32</v>
      </c>
      <c r="H153" s="28"/>
      <c r="I153" s="61"/>
      <c r="J153" s="62"/>
      <c r="K153" s="28"/>
      <c r="L153" s="62"/>
      <c r="M153" s="62"/>
      <c r="N153" s="62"/>
      <c r="O153" s="25"/>
      <c r="P153" s="25"/>
      <c r="Q153" s="23"/>
      <c r="R153" s="23"/>
      <c r="S153" s="23"/>
      <c r="T153" s="32"/>
    </row>
    <row r="154" spans="1:22" ht="21" customHeight="1">
      <c r="A154" s="34">
        <v>16</v>
      </c>
      <c r="B154" s="34" t="s">
        <v>387</v>
      </c>
      <c r="C154" s="12"/>
      <c r="D154" s="28"/>
      <c r="E154" s="28"/>
      <c r="F154" s="25">
        <v>32</v>
      </c>
      <c r="G154" s="23"/>
      <c r="H154" s="23"/>
      <c r="I154" s="61"/>
      <c r="J154" s="62"/>
      <c r="K154" s="28"/>
      <c r="L154" s="62"/>
      <c r="M154" s="62"/>
      <c r="N154" s="62"/>
      <c r="O154" s="25"/>
      <c r="P154" s="25"/>
      <c r="Q154" s="23"/>
      <c r="R154" s="23"/>
      <c r="S154" s="23"/>
      <c r="T154" s="34"/>
      <c r="U154" s="74"/>
      <c r="V154" s="72"/>
    </row>
    <row r="155" spans="1:22" ht="21" customHeight="1">
      <c r="A155" s="34">
        <v>17</v>
      </c>
      <c r="B155" s="34" t="s">
        <v>388</v>
      </c>
      <c r="C155" s="12"/>
      <c r="D155" s="28"/>
      <c r="E155" s="28"/>
      <c r="F155" s="25">
        <v>8</v>
      </c>
      <c r="G155" s="23"/>
      <c r="H155" s="23"/>
      <c r="I155" s="23"/>
      <c r="J155" s="62"/>
      <c r="K155" s="28"/>
      <c r="L155" s="62"/>
      <c r="M155" s="62"/>
      <c r="N155" s="62"/>
      <c r="O155" s="25"/>
      <c r="P155" s="25"/>
      <c r="Q155" s="23"/>
      <c r="R155" s="23"/>
      <c r="S155" s="23"/>
      <c r="T155" s="34"/>
      <c r="U155" s="72"/>
    </row>
    <row r="156" spans="1:22" ht="21" customHeight="1">
      <c r="A156" s="34">
        <v>18</v>
      </c>
      <c r="B156" s="34" t="s">
        <v>389</v>
      </c>
      <c r="C156" s="12"/>
      <c r="D156" s="28"/>
      <c r="E156" s="28"/>
      <c r="F156" s="25">
        <v>24</v>
      </c>
      <c r="G156" s="23"/>
      <c r="H156" s="23"/>
      <c r="I156" s="23"/>
      <c r="J156" s="62"/>
      <c r="K156" s="28"/>
      <c r="L156" s="62"/>
      <c r="M156" s="62"/>
      <c r="N156" s="62"/>
      <c r="O156" s="25"/>
      <c r="P156" s="25"/>
      <c r="Q156" s="23"/>
      <c r="R156" s="23"/>
      <c r="S156" s="23"/>
      <c r="T156" s="34"/>
      <c r="U156" s="72"/>
    </row>
    <row r="157" spans="1:22" ht="21" customHeight="1">
      <c r="A157" s="34">
        <v>19</v>
      </c>
      <c r="B157" s="34" t="s">
        <v>390</v>
      </c>
      <c r="C157" s="12"/>
      <c r="D157" s="28"/>
      <c r="E157" s="28"/>
      <c r="F157" s="25">
        <v>32</v>
      </c>
      <c r="G157" s="28"/>
      <c r="H157" s="28"/>
      <c r="I157" s="61">
        <v>4.5</v>
      </c>
      <c r="J157" s="62">
        <f>I157*8</f>
        <v>36</v>
      </c>
      <c r="K157" s="28">
        <v>8</v>
      </c>
      <c r="L157" s="62">
        <f>K157*12</f>
        <v>96</v>
      </c>
      <c r="M157" s="62">
        <f>K157*4</f>
        <v>32</v>
      </c>
      <c r="N157" s="62">
        <f>M157+L157+J157</f>
        <v>164</v>
      </c>
      <c r="O157" s="25"/>
      <c r="P157" s="25"/>
      <c r="Q157" s="23"/>
      <c r="R157" s="23"/>
      <c r="S157" s="23"/>
      <c r="T157" s="32"/>
    </row>
    <row r="158" spans="1:22" ht="21" customHeight="1">
      <c r="A158" s="63" t="s">
        <v>391</v>
      </c>
      <c r="B158" s="64"/>
      <c r="C158" s="65"/>
      <c r="D158" s="28"/>
      <c r="E158" s="28"/>
      <c r="F158" s="25"/>
      <c r="G158" s="28"/>
      <c r="H158" s="28"/>
      <c r="I158" s="61"/>
      <c r="J158" s="62"/>
      <c r="K158" s="28"/>
      <c r="L158" s="62"/>
      <c r="M158" s="62"/>
      <c r="N158" s="62"/>
      <c r="O158" s="25"/>
      <c r="P158" s="25"/>
      <c r="Q158" s="23"/>
      <c r="R158" s="23"/>
      <c r="S158" s="23"/>
      <c r="T158" s="32"/>
    </row>
    <row r="159" spans="1:22" ht="21" customHeight="1">
      <c r="A159" s="34">
        <v>1</v>
      </c>
      <c r="B159" s="34" t="s">
        <v>392</v>
      </c>
      <c r="C159" s="12"/>
      <c r="D159" s="28"/>
      <c r="E159" s="28"/>
      <c r="F159" s="25"/>
      <c r="G159" s="28"/>
      <c r="H159" s="28" t="s">
        <v>445</v>
      </c>
      <c r="I159" s="61">
        <v>5</v>
      </c>
      <c r="J159" s="62">
        <f t="shared" ref="J159:J167" si="4">I159*8</f>
        <v>40</v>
      </c>
      <c r="K159" s="23">
        <v>9</v>
      </c>
      <c r="L159" s="62">
        <f>K159*12</f>
        <v>108</v>
      </c>
      <c r="M159" s="62">
        <f>K159*4</f>
        <v>36</v>
      </c>
      <c r="N159" s="62">
        <f t="shared" ref="N159:N167" si="5">M159+L159+J159</f>
        <v>184</v>
      </c>
      <c r="O159" s="25"/>
      <c r="P159" s="25"/>
      <c r="Q159" s="23"/>
      <c r="R159" s="23"/>
      <c r="S159" s="23"/>
      <c r="T159" s="32"/>
    </row>
    <row r="160" spans="1:22" ht="21" customHeight="1">
      <c r="A160" s="34">
        <v>2</v>
      </c>
      <c r="B160" s="34" t="s">
        <v>393</v>
      </c>
      <c r="C160" s="54" t="s">
        <v>431</v>
      </c>
      <c r="D160" s="28"/>
      <c r="E160" s="23">
        <v>72</v>
      </c>
      <c r="F160" s="25"/>
      <c r="G160" s="28"/>
      <c r="H160" s="28"/>
      <c r="I160" s="61"/>
      <c r="J160" s="62"/>
      <c r="K160" s="23"/>
      <c r="L160" s="16"/>
      <c r="M160" s="16"/>
      <c r="N160" s="62"/>
      <c r="O160" s="25"/>
      <c r="P160" s="25"/>
      <c r="Q160" s="23"/>
      <c r="R160" s="23"/>
      <c r="S160" s="23"/>
      <c r="T160" s="32"/>
    </row>
    <row r="161" spans="1:22" ht="21" customHeight="1">
      <c r="A161" s="34">
        <v>3</v>
      </c>
      <c r="B161" s="34" t="s">
        <v>394</v>
      </c>
      <c r="C161" s="12">
        <v>16</v>
      </c>
      <c r="D161" s="28"/>
      <c r="E161" s="28"/>
      <c r="F161" s="25"/>
      <c r="G161" s="28"/>
      <c r="H161" s="28"/>
      <c r="I161" s="61">
        <v>6.5</v>
      </c>
      <c r="J161" s="62">
        <f t="shared" si="4"/>
        <v>52</v>
      </c>
      <c r="K161" s="23">
        <v>8</v>
      </c>
      <c r="L161" s="62">
        <f>K161*12</f>
        <v>96</v>
      </c>
      <c r="M161" s="62">
        <f>K161*4</f>
        <v>32</v>
      </c>
      <c r="N161" s="62">
        <f t="shared" si="5"/>
        <v>180</v>
      </c>
      <c r="O161" s="25"/>
      <c r="P161" s="25"/>
      <c r="Q161" s="23"/>
      <c r="R161" s="23"/>
      <c r="S161" s="23"/>
      <c r="T161" s="32"/>
    </row>
    <row r="162" spans="1:22" ht="21" customHeight="1">
      <c r="A162" s="34">
        <v>4</v>
      </c>
      <c r="B162" s="34" t="s">
        <v>395</v>
      </c>
      <c r="C162" s="54">
        <v>16</v>
      </c>
      <c r="D162" s="28"/>
      <c r="E162" s="28"/>
      <c r="F162" s="25"/>
      <c r="G162" s="23"/>
      <c r="H162" s="28"/>
      <c r="I162" s="61">
        <v>5.5</v>
      </c>
      <c r="J162" s="62">
        <f t="shared" si="4"/>
        <v>44</v>
      </c>
      <c r="K162" s="23">
        <v>9</v>
      </c>
      <c r="L162" s="62">
        <f>K162*12</f>
        <v>108</v>
      </c>
      <c r="M162" s="62">
        <f>K162*4</f>
        <v>36</v>
      </c>
      <c r="N162" s="62">
        <f t="shared" si="5"/>
        <v>188</v>
      </c>
      <c r="O162" s="25"/>
      <c r="P162" s="25"/>
      <c r="Q162" s="23"/>
      <c r="R162" s="23"/>
      <c r="S162" s="23"/>
      <c r="T162" s="32"/>
    </row>
    <row r="163" spans="1:22" ht="21" customHeight="1">
      <c r="A163" s="34">
        <v>5</v>
      </c>
      <c r="B163" s="34" t="s">
        <v>396</v>
      </c>
      <c r="C163" s="54">
        <v>57</v>
      </c>
      <c r="D163" s="28"/>
      <c r="E163" s="23"/>
      <c r="F163" s="25"/>
      <c r="G163" s="61"/>
      <c r="H163" s="28"/>
      <c r="I163" s="61"/>
      <c r="J163" s="62"/>
      <c r="K163" s="23"/>
      <c r="L163" s="62"/>
      <c r="M163" s="62"/>
      <c r="N163" s="62"/>
      <c r="O163" s="25"/>
      <c r="P163" s="25"/>
      <c r="Q163" s="23"/>
      <c r="R163" s="23"/>
      <c r="S163" s="23"/>
      <c r="T163" s="32"/>
    </row>
    <row r="164" spans="1:22" ht="21" customHeight="1">
      <c r="A164" s="34">
        <v>6</v>
      </c>
      <c r="B164" s="34" t="s">
        <v>397</v>
      </c>
      <c r="C164" s="36"/>
      <c r="D164" s="23"/>
      <c r="E164" s="27"/>
      <c r="F164" s="25">
        <v>32</v>
      </c>
      <c r="G164" s="28"/>
      <c r="H164" s="28"/>
      <c r="I164" s="61">
        <v>6.5</v>
      </c>
      <c r="J164" s="62">
        <f t="shared" si="4"/>
        <v>52</v>
      </c>
      <c r="K164" s="23">
        <v>5</v>
      </c>
      <c r="L164" s="16">
        <f t="shared" ref="L164:L167" si="6">K164*12</f>
        <v>60</v>
      </c>
      <c r="M164" s="16">
        <f t="shared" ref="M164:M167" si="7">K164*4</f>
        <v>20</v>
      </c>
      <c r="N164" s="62">
        <f t="shared" si="5"/>
        <v>132</v>
      </c>
      <c r="O164" s="25"/>
      <c r="P164" s="25"/>
      <c r="Q164" s="23"/>
      <c r="R164" s="23"/>
      <c r="S164" s="23"/>
      <c r="T164" s="32"/>
    </row>
    <row r="165" spans="1:22" ht="21" customHeight="1">
      <c r="A165" s="34">
        <v>7</v>
      </c>
      <c r="B165" s="34" t="s">
        <v>398</v>
      </c>
      <c r="C165" s="36"/>
      <c r="D165" s="23"/>
      <c r="E165" s="27"/>
      <c r="F165" s="25">
        <v>8</v>
      </c>
      <c r="G165" s="28"/>
      <c r="H165" s="28"/>
      <c r="I165" s="61">
        <v>4</v>
      </c>
      <c r="J165" s="62">
        <f t="shared" si="4"/>
        <v>32</v>
      </c>
      <c r="K165" s="23">
        <v>4</v>
      </c>
      <c r="L165" s="16">
        <f t="shared" si="6"/>
        <v>48</v>
      </c>
      <c r="M165" s="16">
        <f t="shared" si="7"/>
        <v>16</v>
      </c>
      <c r="N165" s="62">
        <f t="shared" si="5"/>
        <v>96</v>
      </c>
      <c r="O165" s="25"/>
      <c r="P165" s="25"/>
      <c r="Q165" s="23"/>
      <c r="R165" s="23"/>
      <c r="S165" s="23"/>
      <c r="T165" s="32"/>
    </row>
    <row r="166" spans="1:22" ht="21" customHeight="1">
      <c r="A166" s="34">
        <v>8</v>
      </c>
      <c r="B166" s="34" t="s">
        <v>399</v>
      </c>
      <c r="C166" s="36"/>
      <c r="D166" s="23"/>
      <c r="E166" s="27"/>
      <c r="F166" s="25"/>
      <c r="G166" s="28"/>
      <c r="H166" s="28"/>
      <c r="I166" s="61">
        <v>5</v>
      </c>
      <c r="J166" s="62">
        <f t="shared" si="4"/>
        <v>40</v>
      </c>
      <c r="K166" s="23">
        <v>2</v>
      </c>
      <c r="L166" s="16">
        <f t="shared" si="6"/>
        <v>24</v>
      </c>
      <c r="M166" s="16">
        <f t="shared" si="7"/>
        <v>8</v>
      </c>
      <c r="N166" s="62">
        <f t="shared" si="5"/>
        <v>72</v>
      </c>
      <c r="O166" s="25"/>
      <c r="P166" s="25"/>
      <c r="Q166" s="23"/>
      <c r="R166" s="23"/>
      <c r="S166" s="23"/>
      <c r="T166" s="32"/>
    </row>
    <row r="167" spans="1:22" ht="21" customHeight="1">
      <c r="A167" s="34">
        <v>9</v>
      </c>
      <c r="B167" s="34" t="s">
        <v>400</v>
      </c>
      <c r="C167" s="36"/>
      <c r="D167" s="23">
        <v>8</v>
      </c>
      <c r="E167" s="27"/>
      <c r="F167" s="25">
        <v>32</v>
      </c>
      <c r="G167" s="28"/>
      <c r="H167" s="28"/>
      <c r="I167" s="30">
        <v>3</v>
      </c>
      <c r="J167" s="16">
        <f t="shared" si="4"/>
        <v>24</v>
      </c>
      <c r="K167" s="17">
        <v>4</v>
      </c>
      <c r="L167" s="16">
        <f t="shared" si="6"/>
        <v>48</v>
      </c>
      <c r="M167" s="16">
        <f t="shared" si="7"/>
        <v>16</v>
      </c>
      <c r="N167" s="16">
        <f t="shared" si="5"/>
        <v>88</v>
      </c>
      <c r="O167" s="25"/>
      <c r="P167" s="25"/>
      <c r="Q167" s="23"/>
      <c r="R167" s="23"/>
      <c r="S167" s="23"/>
      <c r="T167" s="32"/>
    </row>
    <row r="168" spans="1:22" ht="21" customHeight="1">
      <c r="A168" s="63" t="s">
        <v>401</v>
      </c>
      <c r="B168" s="64"/>
      <c r="C168" s="65"/>
      <c r="D168" s="28"/>
      <c r="E168" s="28"/>
      <c r="F168" s="25"/>
      <c r="G168" s="28"/>
      <c r="H168" s="28"/>
      <c r="I168" s="61"/>
      <c r="J168" s="62"/>
      <c r="K168" s="28"/>
      <c r="L168" s="62"/>
      <c r="M168" s="62"/>
      <c r="N168" s="62"/>
      <c r="O168" s="25"/>
      <c r="P168" s="25"/>
      <c r="Q168" s="23"/>
      <c r="R168" s="23"/>
      <c r="S168" s="23"/>
      <c r="T168" s="32"/>
    </row>
    <row r="169" spans="1:22" ht="21" customHeight="1">
      <c r="A169" s="34">
        <v>1</v>
      </c>
      <c r="B169" s="34" t="s">
        <v>402</v>
      </c>
      <c r="C169" s="12"/>
      <c r="D169" s="28"/>
      <c r="E169" s="28"/>
      <c r="F169" s="25">
        <v>8</v>
      </c>
      <c r="G169" s="28"/>
      <c r="H169" s="28" t="s">
        <v>441</v>
      </c>
      <c r="I169" s="61">
        <v>2</v>
      </c>
      <c r="J169" s="62">
        <f>I169*8</f>
        <v>16</v>
      </c>
      <c r="K169" s="28">
        <v>7</v>
      </c>
      <c r="L169" s="16">
        <f t="shared" ref="L169" si="8">K169*12</f>
        <v>84</v>
      </c>
      <c r="M169" s="16">
        <f t="shared" ref="M169" si="9">K169*4</f>
        <v>28</v>
      </c>
      <c r="N169" s="62">
        <f>M169+L169+J169</f>
        <v>128</v>
      </c>
      <c r="O169" s="25"/>
      <c r="P169" s="25"/>
      <c r="Q169" s="23"/>
      <c r="R169" s="23"/>
      <c r="S169" s="23"/>
      <c r="T169" s="32"/>
    </row>
    <row r="170" spans="1:22" ht="21" customHeight="1">
      <c r="A170" s="34">
        <v>2</v>
      </c>
      <c r="B170" s="34" t="s">
        <v>403</v>
      </c>
      <c r="C170" s="12"/>
      <c r="D170" s="28"/>
      <c r="E170" s="28"/>
      <c r="F170" s="25">
        <v>8</v>
      </c>
      <c r="G170" s="28"/>
      <c r="H170" s="28"/>
      <c r="I170" s="61"/>
      <c r="J170" s="62"/>
      <c r="K170" s="28"/>
      <c r="L170" s="16"/>
      <c r="M170" s="16"/>
      <c r="N170" s="62"/>
      <c r="O170" s="25"/>
      <c r="P170" s="25"/>
      <c r="Q170" s="23"/>
      <c r="R170" s="23"/>
      <c r="S170" s="23"/>
      <c r="T170" s="32"/>
    </row>
    <row r="171" spans="1:22" ht="21" customHeight="1">
      <c r="A171" s="34">
        <v>3</v>
      </c>
      <c r="B171" s="34" t="s">
        <v>404</v>
      </c>
      <c r="C171" s="12"/>
      <c r="D171" s="28"/>
      <c r="E171" s="28"/>
      <c r="F171" s="25">
        <v>8</v>
      </c>
      <c r="G171" s="28"/>
      <c r="H171" s="28"/>
      <c r="I171" s="61"/>
      <c r="J171" s="62"/>
      <c r="K171" s="28"/>
      <c r="L171" s="16"/>
      <c r="M171" s="16"/>
      <c r="N171" s="16"/>
      <c r="O171" s="25"/>
      <c r="P171" s="25"/>
      <c r="Q171" s="23"/>
      <c r="R171" s="23"/>
      <c r="S171" s="23"/>
      <c r="T171" s="32"/>
    </row>
    <row r="172" spans="1:22" ht="21" customHeight="1">
      <c r="A172" s="34">
        <v>4</v>
      </c>
      <c r="B172" s="34" t="s">
        <v>405</v>
      </c>
      <c r="C172" s="12"/>
      <c r="D172" s="28"/>
      <c r="E172" s="28"/>
      <c r="F172" s="25">
        <v>24</v>
      </c>
      <c r="G172" s="28"/>
      <c r="H172" s="28"/>
      <c r="I172" s="61">
        <v>4.5</v>
      </c>
      <c r="J172" s="62">
        <f>I172*8</f>
        <v>36</v>
      </c>
      <c r="K172" s="28">
        <v>7</v>
      </c>
      <c r="L172" s="16">
        <f t="shared" ref="L172" si="10">K172*12</f>
        <v>84</v>
      </c>
      <c r="M172" s="16">
        <f t="shared" ref="M172" si="11">K172*4</f>
        <v>28</v>
      </c>
      <c r="N172" s="16">
        <f t="shared" ref="N172" si="12">M172+L172+J172</f>
        <v>148</v>
      </c>
      <c r="O172" s="25"/>
      <c r="P172" s="25"/>
      <c r="Q172" s="23"/>
      <c r="R172" s="23"/>
      <c r="S172" s="23"/>
      <c r="T172" s="32"/>
    </row>
    <row r="173" spans="1:22" ht="21" customHeight="1">
      <c r="A173" s="63" t="s">
        <v>406</v>
      </c>
      <c r="B173" s="64"/>
      <c r="C173" s="65"/>
      <c r="D173" s="28"/>
      <c r="E173" s="28"/>
      <c r="F173" s="25"/>
      <c r="G173" s="28"/>
      <c r="H173" s="28"/>
      <c r="I173" s="61"/>
      <c r="J173" s="62"/>
      <c r="K173" s="28"/>
      <c r="L173" s="62"/>
      <c r="M173" s="62"/>
      <c r="N173" s="62"/>
      <c r="O173" s="25"/>
      <c r="P173" s="25"/>
      <c r="Q173" s="23"/>
      <c r="R173" s="23"/>
      <c r="S173" s="23"/>
      <c r="T173" s="32"/>
      <c r="U173" s="74"/>
      <c r="V173" s="72"/>
    </row>
    <row r="174" spans="1:22" ht="21" customHeight="1">
      <c r="A174" s="34">
        <v>1</v>
      </c>
      <c r="B174" s="34" t="s">
        <v>407</v>
      </c>
      <c r="C174" s="12"/>
      <c r="D174" s="28">
        <v>40</v>
      </c>
      <c r="E174" s="28"/>
      <c r="F174" s="25"/>
      <c r="G174" s="28"/>
      <c r="H174" s="28"/>
      <c r="I174" s="61">
        <v>1</v>
      </c>
      <c r="J174" s="62">
        <f t="shared" ref="J174:J181" si="13">I174*8</f>
        <v>8</v>
      </c>
      <c r="K174" s="23"/>
      <c r="L174" s="16"/>
      <c r="M174" s="16"/>
      <c r="N174" s="62">
        <f t="shared" ref="N174:N181" si="14">M174+L174+J174</f>
        <v>8</v>
      </c>
      <c r="O174" s="25"/>
      <c r="P174" s="25"/>
      <c r="Q174" s="23"/>
      <c r="R174" s="23"/>
      <c r="S174" s="23"/>
      <c r="T174" s="32"/>
    </row>
    <row r="175" spans="1:22" ht="21" customHeight="1">
      <c r="A175" s="34">
        <v>2</v>
      </c>
      <c r="B175" s="34" t="s">
        <v>408</v>
      </c>
      <c r="C175" s="12"/>
      <c r="D175" s="28"/>
      <c r="E175" s="28">
        <v>28</v>
      </c>
      <c r="F175" s="25">
        <v>12</v>
      </c>
      <c r="G175" s="28"/>
      <c r="H175" s="28"/>
      <c r="I175" s="61"/>
      <c r="J175" s="62"/>
      <c r="K175" s="23"/>
      <c r="L175" s="16"/>
      <c r="M175" s="16"/>
      <c r="N175" s="62"/>
      <c r="O175" s="25"/>
      <c r="P175" s="25"/>
      <c r="Q175" s="23"/>
      <c r="R175" s="23"/>
      <c r="S175" s="23"/>
      <c r="T175" s="32"/>
    </row>
    <row r="176" spans="1:22" ht="21" customHeight="1">
      <c r="A176" s="34">
        <v>3</v>
      </c>
      <c r="B176" s="34" t="s">
        <v>409</v>
      </c>
      <c r="C176" s="12"/>
      <c r="D176" s="28"/>
      <c r="E176" s="28"/>
      <c r="F176" s="25"/>
      <c r="G176" s="28"/>
      <c r="H176" s="28"/>
      <c r="I176" s="61">
        <v>3</v>
      </c>
      <c r="J176" s="62">
        <f t="shared" si="13"/>
        <v>24</v>
      </c>
      <c r="K176" s="23"/>
      <c r="L176" s="16"/>
      <c r="M176" s="16"/>
      <c r="N176" s="62">
        <f t="shared" si="14"/>
        <v>24</v>
      </c>
      <c r="O176" s="25"/>
      <c r="P176" s="25"/>
      <c r="Q176" s="23"/>
      <c r="R176" s="23"/>
      <c r="S176" s="23"/>
      <c r="T176" s="32"/>
    </row>
    <row r="177" spans="1:23" ht="21" customHeight="1">
      <c r="A177" s="34">
        <v>4</v>
      </c>
      <c r="B177" s="34" t="s">
        <v>410</v>
      </c>
      <c r="C177" s="12"/>
      <c r="D177" s="28"/>
      <c r="E177" s="28"/>
      <c r="F177" s="25">
        <v>8</v>
      </c>
      <c r="G177" s="28"/>
      <c r="H177" s="28"/>
      <c r="I177" s="61">
        <v>9.5</v>
      </c>
      <c r="J177" s="62">
        <f t="shared" si="13"/>
        <v>76</v>
      </c>
      <c r="K177" s="23">
        <v>3</v>
      </c>
      <c r="L177" s="16">
        <f t="shared" ref="L177:L180" si="15">K177*12</f>
        <v>36</v>
      </c>
      <c r="M177" s="16">
        <f t="shared" ref="M177:M180" si="16">K177*4</f>
        <v>12</v>
      </c>
      <c r="N177" s="62">
        <f t="shared" si="14"/>
        <v>124</v>
      </c>
      <c r="O177" s="25"/>
      <c r="P177" s="25"/>
      <c r="Q177" s="23"/>
      <c r="R177" s="23"/>
      <c r="S177" s="23"/>
      <c r="T177" s="32"/>
    </row>
    <row r="178" spans="1:23" ht="21" customHeight="1">
      <c r="A178" s="34">
        <v>5</v>
      </c>
      <c r="B178" s="34" t="s">
        <v>411</v>
      </c>
      <c r="C178" s="12"/>
      <c r="D178" s="28">
        <v>40</v>
      </c>
      <c r="E178" s="28"/>
      <c r="F178" s="25"/>
      <c r="G178" s="28"/>
      <c r="H178" s="28"/>
      <c r="I178" s="61">
        <v>1</v>
      </c>
      <c r="J178" s="62">
        <f t="shared" si="13"/>
        <v>8</v>
      </c>
      <c r="K178" s="23"/>
      <c r="L178" s="16"/>
      <c r="M178" s="16"/>
      <c r="N178" s="62">
        <f t="shared" si="14"/>
        <v>8</v>
      </c>
      <c r="O178" s="25"/>
      <c r="P178" s="25"/>
      <c r="Q178" s="23"/>
      <c r="R178" s="23"/>
      <c r="S178" s="23"/>
      <c r="T178" s="32"/>
    </row>
    <row r="179" spans="1:23" ht="21" customHeight="1">
      <c r="A179" s="34">
        <v>6</v>
      </c>
      <c r="B179" s="34" t="s">
        <v>412</v>
      </c>
      <c r="C179" s="12">
        <v>16</v>
      </c>
      <c r="D179" s="28"/>
      <c r="E179" s="28"/>
      <c r="F179" s="25"/>
      <c r="G179" s="28"/>
      <c r="H179" s="28"/>
      <c r="I179" s="61">
        <v>4.5</v>
      </c>
      <c r="J179" s="62">
        <f t="shared" si="13"/>
        <v>36</v>
      </c>
      <c r="K179" s="23">
        <v>7</v>
      </c>
      <c r="L179" s="16">
        <f t="shared" si="15"/>
        <v>84</v>
      </c>
      <c r="M179" s="16">
        <f t="shared" si="16"/>
        <v>28</v>
      </c>
      <c r="N179" s="62">
        <f t="shared" si="14"/>
        <v>148</v>
      </c>
      <c r="O179" s="25"/>
      <c r="P179" s="25"/>
      <c r="Q179" s="23"/>
      <c r="R179" s="23"/>
      <c r="S179" s="23"/>
      <c r="T179" s="32"/>
    </row>
    <row r="180" spans="1:23" ht="21" customHeight="1">
      <c r="A180" s="34">
        <v>7</v>
      </c>
      <c r="B180" s="34" t="s">
        <v>413</v>
      </c>
      <c r="C180" s="12">
        <v>32</v>
      </c>
      <c r="D180" s="28"/>
      <c r="E180" s="28"/>
      <c r="F180" s="25"/>
      <c r="G180" s="28"/>
      <c r="H180" s="28"/>
      <c r="I180" s="61">
        <v>2.5</v>
      </c>
      <c r="J180" s="62">
        <f t="shared" si="13"/>
        <v>20</v>
      </c>
      <c r="K180" s="23">
        <v>5</v>
      </c>
      <c r="L180" s="16">
        <f t="shared" si="15"/>
        <v>60</v>
      </c>
      <c r="M180" s="16">
        <f t="shared" si="16"/>
        <v>20</v>
      </c>
      <c r="N180" s="62">
        <f t="shared" si="14"/>
        <v>100</v>
      </c>
      <c r="O180" s="25"/>
      <c r="P180" s="25"/>
      <c r="Q180" s="23"/>
      <c r="R180" s="23"/>
      <c r="S180" s="23"/>
      <c r="T180" s="32"/>
    </row>
    <row r="181" spans="1:23" ht="21" customHeight="1">
      <c r="A181" s="34">
        <v>8</v>
      </c>
      <c r="B181" s="34" t="s">
        <v>414</v>
      </c>
      <c r="C181" s="12">
        <v>32</v>
      </c>
      <c r="D181" s="28"/>
      <c r="E181" s="28"/>
      <c r="F181" s="25"/>
      <c r="G181" s="28"/>
      <c r="H181" s="28"/>
      <c r="I181" s="61">
        <v>2</v>
      </c>
      <c r="J181" s="62">
        <f t="shared" si="13"/>
        <v>16</v>
      </c>
      <c r="K181" s="23"/>
      <c r="L181" s="16"/>
      <c r="M181" s="16"/>
      <c r="N181" s="62">
        <f t="shared" si="14"/>
        <v>16</v>
      </c>
      <c r="O181" s="25"/>
      <c r="P181" s="25"/>
      <c r="Q181" s="23"/>
      <c r="R181" s="23"/>
      <c r="S181" s="23"/>
      <c r="T181" s="32"/>
    </row>
    <row r="182" spans="1:23" ht="21" customHeight="1">
      <c r="A182" s="34">
        <v>9</v>
      </c>
      <c r="B182" s="34" t="s">
        <v>415</v>
      </c>
      <c r="C182" s="12">
        <v>24</v>
      </c>
      <c r="D182" s="28"/>
      <c r="E182" s="28"/>
      <c r="F182" s="25"/>
      <c r="G182" s="28"/>
      <c r="H182" s="28"/>
      <c r="I182" s="61">
        <v>1</v>
      </c>
      <c r="J182" s="62">
        <f t="shared" ref="J182:J189" si="17">I182*8</f>
        <v>8</v>
      </c>
      <c r="K182" s="23"/>
      <c r="L182" s="16"/>
      <c r="M182" s="16"/>
      <c r="N182" s="62">
        <f t="shared" ref="N182:N189" si="18">M182+L182+J182</f>
        <v>8</v>
      </c>
      <c r="O182" s="25"/>
      <c r="P182" s="25"/>
      <c r="Q182" s="23"/>
      <c r="R182" s="23"/>
      <c r="S182" s="23"/>
      <c r="T182" s="32"/>
    </row>
    <row r="183" spans="1:23" ht="21" customHeight="1">
      <c r="A183" s="34">
        <v>10</v>
      </c>
      <c r="B183" s="71" t="s">
        <v>416</v>
      </c>
      <c r="C183" s="12">
        <v>32</v>
      </c>
      <c r="D183" s="28"/>
      <c r="E183" s="28"/>
      <c r="F183" s="25"/>
      <c r="G183" s="28"/>
      <c r="H183" s="28"/>
      <c r="I183" s="61">
        <v>6</v>
      </c>
      <c r="J183" s="62">
        <f t="shared" si="17"/>
        <v>48</v>
      </c>
      <c r="K183" s="23"/>
      <c r="L183" s="16"/>
      <c r="M183" s="16"/>
      <c r="N183" s="62">
        <f t="shared" si="18"/>
        <v>48</v>
      </c>
      <c r="O183" s="25"/>
      <c r="P183" s="25"/>
      <c r="Q183" s="23"/>
      <c r="R183" s="23"/>
      <c r="S183" s="23"/>
      <c r="T183" s="32"/>
    </row>
    <row r="184" spans="1:23" ht="21" customHeight="1">
      <c r="A184" s="34">
        <v>11</v>
      </c>
      <c r="B184" s="71" t="s">
        <v>417</v>
      </c>
      <c r="C184" s="12"/>
      <c r="D184" s="28"/>
      <c r="E184" s="28"/>
      <c r="F184" s="25">
        <v>16</v>
      </c>
      <c r="G184" s="28"/>
      <c r="H184" s="28"/>
      <c r="I184" s="61"/>
      <c r="J184" s="62"/>
      <c r="K184" s="23"/>
      <c r="L184" s="16"/>
      <c r="M184" s="16"/>
      <c r="N184" s="62"/>
      <c r="O184" s="25"/>
      <c r="P184" s="25"/>
      <c r="Q184" s="23"/>
      <c r="R184" s="23"/>
      <c r="S184" s="23"/>
      <c r="T184" s="32"/>
    </row>
    <row r="185" spans="1:23" ht="21" customHeight="1">
      <c r="A185" s="34">
        <v>12</v>
      </c>
      <c r="B185" s="71" t="s">
        <v>418</v>
      </c>
      <c r="C185" s="12"/>
      <c r="D185" s="28"/>
      <c r="E185" s="28">
        <v>32</v>
      </c>
      <c r="F185" s="25">
        <v>16</v>
      </c>
      <c r="G185" s="28"/>
      <c r="H185" s="28"/>
      <c r="I185" s="25"/>
      <c r="J185" s="62"/>
      <c r="K185" s="23"/>
      <c r="L185" s="16"/>
      <c r="M185" s="16"/>
      <c r="N185" s="62"/>
      <c r="O185" s="25"/>
      <c r="P185" s="25"/>
      <c r="Q185" s="23"/>
      <c r="R185" s="23"/>
      <c r="S185" s="23"/>
      <c r="T185" s="32"/>
      <c r="W185" s="1" t="s">
        <v>419</v>
      </c>
    </row>
    <row r="186" spans="1:23" ht="21" customHeight="1">
      <c r="A186" s="34">
        <v>13</v>
      </c>
      <c r="B186" s="71" t="s">
        <v>420</v>
      </c>
      <c r="C186" s="12"/>
      <c r="D186" s="28"/>
      <c r="E186" s="28"/>
      <c r="F186" s="25"/>
      <c r="G186" s="28"/>
      <c r="H186" s="28"/>
      <c r="I186" s="25">
        <v>8</v>
      </c>
      <c r="J186" s="62">
        <f t="shared" si="17"/>
        <v>64</v>
      </c>
      <c r="K186" s="23"/>
      <c r="L186" s="16"/>
      <c r="M186" s="16"/>
      <c r="N186" s="62">
        <f t="shared" ref="N186:N188" si="19">M186+L186+J186</f>
        <v>64</v>
      </c>
      <c r="O186" s="25"/>
      <c r="P186" s="25"/>
      <c r="Q186" s="23"/>
      <c r="R186" s="23"/>
      <c r="S186" s="23"/>
      <c r="T186" s="32"/>
    </row>
    <row r="187" spans="1:23" ht="21" customHeight="1">
      <c r="A187" s="34">
        <v>14</v>
      </c>
      <c r="B187" s="71" t="s">
        <v>421</v>
      </c>
      <c r="C187" s="12"/>
      <c r="D187" s="28"/>
      <c r="E187" s="28"/>
      <c r="F187" s="25">
        <v>16</v>
      </c>
      <c r="G187" s="28"/>
      <c r="H187" s="28"/>
      <c r="I187" s="25"/>
      <c r="J187" s="62"/>
      <c r="K187" s="23"/>
      <c r="L187" s="16"/>
      <c r="M187" s="16"/>
      <c r="N187" s="62"/>
      <c r="O187" s="25"/>
      <c r="P187" s="25"/>
      <c r="Q187" s="23"/>
      <c r="R187" s="23"/>
      <c r="S187" s="23"/>
      <c r="T187" s="32"/>
    </row>
    <row r="188" spans="1:23" ht="21" customHeight="1">
      <c r="A188" s="34">
        <v>15</v>
      </c>
      <c r="B188" s="34" t="s">
        <v>422</v>
      </c>
      <c r="C188" s="12"/>
      <c r="D188" s="28"/>
      <c r="E188" s="28"/>
      <c r="F188" s="25">
        <v>24</v>
      </c>
      <c r="G188" s="23"/>
      <c r="H188" s="23"/>
      <c r="I188" s="25">
        <v>1</v>
      </c>
      <c r="J188" s="62">
        <f t="shared" si="17"/>
        <v>8</v>
      </c>
      <c r="K188" s="23"/>
      <c r="L188" s="16"/>
      <c r="M188" s="16"/>
      <c r="N188" s="62">
        <f t="shared" si="19"/>
        <v>8</v>
      </c>
      <c r="O188" s="25"/>
      <c r="P188" s="25"/>
      <c r="Q188" s="23"/>
      <c r="R188" s="23"/>
      <c r="S188" s="23"/>
      <c r="T188" s="34"/>
      <c r="U188" s="72"/>
    </row>
    <row r="189" spans="1:23" ht="21" customHeight="1">
      <c r="A189" s="34">
        <v>16</v>
      </c>
      <c r="B189" s="34" t="s">
        <v>423</v>
      </c>
      <c r="C189" s="12"/>
      <c r="D189" s="28"/>
      <c r="E189" s="28"/>
      <c r="F189" s="25">
        <v>8</v>
      </c>
      <c r="G189" s="23"/>
      <c r="H189" s="23"/>
      <c r="I189" s="25">
        <v>1</v>
      </c>
      <c r="J189" s="62">
        <f t="shared" si="17"/>
        <v>8</v>
      </c>
      <c r="K189" s="23"/>
      <c r="L189" s="16"/>
      <c r="M189" s="16"/>
      <c r="N189" s="62">
        <f t="shared" si="18"/>
        <v>8</v>
      </c>
      <c r="O189" s="25"/>
      <c r="P189" s="25"/>
      <c r="Q189" s="23"/>
      <c r="R189" s="23"/>
      <c r="S189" s="23"/>
      <c r="T189" s="34"/>
      <c r="U189" s="72"/>
    </row>
    <row r="190" spans="1:23" ht="21" customHeight="1">
      <c r="A190" s="63" t="s">
        <v>424</v>
      </c>
      <c r="B190" s="64"/>
      <c r="C190" s="65"/>
      <c r="D190" s="28"/>
      <c r="E190" s="28"/>
      <c r="F190" s="25"/>
      <c r="G190" s="28"/>
      <c r="H190" s="28"/>
      <c r="I190" s="25"/>
      <c r="J190" s="62"/>
      <c r="K190" s="23"/>
      <c r="L190" s="62"/>
      <c r="M190" s="62"/>
      <c r="N190" s="62"/>
      <c r="O190" s="25"/>
      <c r="P190" s="25"/>
      <c r="Q190" s="23"/>
      <c r="R190" s="23"/>
      <c r="S190" s="23"/>
      <c r="T190" s="32"/>
    </row>
    <row r="191" spans="1:23" ht="21" customHeight="1">
      <c r="I191" s="75"/>
    </row>
    <row r="194" spans="15:18" ht="21" customHeight="1">
      <c r="O194" s="75"/>
      <c r="P194" s="75"/>
      <c r="Q194" s="69"/>
      <c r="R194" s="69"/>
    </row>
  </sheetData>
  <mergeCells count="1">
    <mergeCell ref="A1:U1"/>
  </mergeCells>
  <phoneticPr fontId="2" type="noConversion"/>
  <conditionalFormatting sqref="B1">
    <cfRule type="duplicateValues" dxfId="20" priority="5"/>
  </conditionalFormatting>
  <conditionalFormatting sqref="B57">
    <cfRule type="duplicateValues" dxfId="19" priority="4" stopIfTrue="1"/>
  </conditionalFormatting>
  <conditionalFormatting sqref="B1:B1048576">
    <cfRule type="duplicateValues" dxfId="18" priority="2"/>
    <cfRule type="duplicateValues" dxfId="17" priority="3"/>
  </conditionalFormatting>
  <conditionalFormatting sqref="C53 C47 B2:B65540">
    <cfRule type="duplicateValues" dxfId="16" priority="23" stopIfTrue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204"/>
  <sheetViews>
    <sheetView workbookViewId="0">
      <pane ySplit="2" topLeftCell="A26" activePane="bottomLeft" state="frozenSplit"/>
      <selection pane="bottomLeft" activeCell="I32" sqref="I32"/>
    </sheetView>
  </sheetViews>
  <sheetFormatPr defaultRowHeight="18.75" customHeight="1"/>
  <cols>
    <col min="1" max="1" width="3.625" customWidth="1"/>
    <col min="2" max="2" width="7" style="49" customWidth="1"/>
    <col min="3" max="3" width="16.125" style="49" customWidth="1"/>
    <col min="4" max="4" width="11.875" style="50" customWidth="1"/>
    <col min="5" max="5" width="6.875" style="51" customWidth="1"/>
    <col min="6" max="6" width="6.875" style="89" customWidth="1"/>
    <col min="7" max="7" width="7.375" style="51" customWidth="1"/>
    <col min="8" max="8" width="6.875" style="51" customWidth="1"/>
    <col min="9" max="9" width="9.625" style="51" customWidth="1"/>
    <col min="10" max="10" width="7.125" style="52" customWidth="1"/>
    <col min="11" max="11" width="7.125" customWidth="1"/>
    <col min="12" max="12" width="7.125" style="51" customWidth="1"/>
    <col min="13" max="14" width="7.125" customWidth="1"/>
    <col min="15" max="15" width="7.25" customWidth="1"/>
    <col min="16" max="16" width="6.75" style="53" customWidth="1"/>
    <col min="17" max="17" width="8" style="53" customWidth="1"/>
    <col min="18" max="20" width="6.75" style="49" customWidth="1"/>
    <col min="25" max="25" width="15.125" customWidth="1"/>
    <col min="26" max="26" width="20.875" customWidth="1"/>
  </cols>
  <sheetData>
    <row r="1" spans="1:21" s="1" customFormat="1" ht="26.25" customHeight="1">
      <c r="A1" s="98" t="s">
        <v>447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</row>
    <row r="2" spans="1:21" s="1" customFormat="1" ht="26.25" customHeight="1">
      <c r="A2" s="2" t="s">
        <v>0</v>
      </c>
      <c r="B2" s="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  <c r="H2" s="4" t="s">
        <v>7</v>
      </c>
      <c r="I2" s="4" t="s">
        <v>8</v>
      </c>
      <c r="J2" s="7" t="s">
        <v>9</v>
      </c>
      <c r="K2" s="8" t="s">
        <v>10</v>
      </c>
      <c r="L2" s="4" t="s">
        <v>11</v>
      </c>
      <c r="M2" s="9" t="s">
        <v>12</v>
      </c>
      <c r="N2" s="9" t="s">
        <v>13</v>
      </c>
      <c r="O2" s="9" t="s">
        <v>14</v>
      </c>
      <c r="P2" s="6" t="s">
        <v>15</v>
      </c>
      <c r="Q2" s="6" t="s">
        <v>16</v>
      </c>
      <c r="R2" s="5" t="s">
        <v>17</v>
      </c>
      <c r="S2" s="4" t="s">
        <v>18</v>
      </c>
      <c r="T2" s="10" t="s">
        <v>19</v>
      </c>
      <c r="U2" s="2" t="s">
        <v>20</v>
      </c>
    </row>
    <row r="3" spans="1:21" s="18" customFormat="1" ht="18.75" customHeight="1">
      <c r="A3" s="11">
        <v>1</v>
      </c>
      <c r="B3" s="11" t="s">
        <v>21</v>
      </c>
      <c r="C3" s="11" t="s">
        <v>22</v>
      </c>
      <c r="D3" s="12"/>
      <c r="E3" s="13"/>
      <c r="F3" s="86">
        <v>120</v>
      </c>
      <c r="H3" s="13"/>
      <c r="I3" s="13"/>
      <c r="J3" s="15"/>
      <c r="K3" s="16"/>
      <c r="L3" s="17"/>
      <c r="M3" s="16"/>
      <c r="N3" s="16"/>
      <c r="O3" s="16"/>
      <c r="P3" s="14"/>
      <c r="Q3" s="14"/>
      <c r="R3" s="17"/>
      <c r="S3" s="13"/>
      <c r="T3" s="11"/>
      <c r="U3" s="11"/>
    </row>
    <row r="4" spans="1:21" ht="18.75" customHeight="1">
      <c r="A4" s="11">
        <v>2</v>
      </c>
      <c r="B4" s="19" t="s">
        <v>23</v>
      </c>
      <c r="C4" s="20" t="s">
        <v>22</v>
      </c>
      <c r="D4" s="21"/>
      <c r="E4" s="22"/>
      <c r="F4" s="23"/>
      <c r="G4" s="24">
        <v>8</v>
      </c>
      <c r="H4" s="22"/>
      <c r="I4" s="22"/>
      <c r="J4" s="15"/>
      <c r="K4" s="16"/>
      <c r="L4" s="17"/>
      <c r="M4" s="16"/>
      <c r="N4" s="16"/>
      <c r="O4" s="16"/>
      <c r="P4" s="14"/>
      <c r="Q4" s="25"/>
      <c r="R4" s="23"/>
      <c r="S4" s="23"/>
      <c r="T4" s="23"/>
      <c r="U4" s="23"/>
    </row>
    <row r="5" spans="1:21" ht="18.75" customHeight="1">
      <c r="A5" s="11">
        <v>3</v>
      </c>
      <c r="B5" s="19" t="s">
        <v>25</v>
      </c>
      <c r="C5" s="20" t="s">
        <v>22</v>
      </c>
      <c r="D5" s="21"/>
      <c r="E5" s="22"/>
      <c r="F5" s="87">
        <v>120</v>
      </c>
      <c r="G5" s="22"/>
      <c r="H5" s="22"/>
      <c r="I5" s="22"/>
      <c r="J5" s="15"/>
      <c r="K5" s="16"/>
      <c r="L5" s="17"/>
      <c r="M5" s="16"/>
      <c r="N5" s="16"/>
      <c r="O5" s="16"/>
      <c r="P5" s="14"/>
      <c r="Q5" s="25"/>
      <c r="R5" s="23"/>
      <c r="S5" s="25"/>
      <c r="T5" s="23"/>
      <c r="U5" s="23"/>
    </row>
    <row r="6" spans="1:21" ht="18.75" customHeight="1">
      <c r="A6" s="11">
        <v>4</v>
      </c>
      <c r="B6" s="19" t="s">
        <v>26</v>
      </c>
      <c r="C6" s="20" t="s">
        <v>22</v>
      </c>
      <c r="D6" s="21"/>
      <c r="E6" s="22"/>
      <c r="F6" s="87">
        <v>112</v>
      </c>
      <c r="G6" s="22"/>
      <c r="H6" s="22"/>
      <c r="I6" s="22"/>
      <c r="J6" s="15"/>
      <c r="K6" s="16"/>
      <c r="L6" s="17"/>
      <c r="M6" s="16"/>
      <c r="N6" s="16"/>
      <c r="O6" s="16"/>
      <c r="P6" s="14"/>
      <c r="Q6" s="25"/>
      <c r="R6" s="23"/>
      <c r="S6" s="23"/>
      <c r="T6" s="23"/>
      <c r="U6" s="23"/>
    </row>
    <row r="7" spans="1:21" s="1" customFormat="1" ht="18.75" customHeight="1">
      <c r="A7" s="11">
        <v>5</v>
      </c>
      <c r="B7" s="26" t="s">
        <v>27</v>
      </c>
      <c r="C7" s="26" t="s">
        <v>28</v>
      </c>
      <c r="D7" s="27"/>
      <c r="E7" s="28"/>
      <c r="F7" s="23"/>
      <c r="G7" s="24"/>
      <c r="H7" s="29"/>
      <c r="I7" s="29"/>
      <c r="J7" s="30"/>
      <c r="K7" s="16"/>
      <c r="L7" s="17"/>
      <c r="M7" s="16"/>
      <c r="N7" s="16"/>
      <c r="O7" s="16"/>
      <c r="P7" s="25"/>
      <c r="Q7" s="31">
        <v>22</v>
      </c>
      <c r="R7" s="23">
        <v>32</v>
      </c>
      <c r="S7" s="28"/>
      <c r="T7" s="32"/>
      <c r="U7" s="32"/>
    </row>
    <row r="8" spans="1:21" s="1" customFormat="1" ht="18.75" customHeight="1">
      <c r="A8" s="11">
        <v>6</v>
      </c>
      <c r="B8" s="26" t="s">
        <v>29</v>
      </c>
      <c r="C8" s="26" t="s">
        <v>28</v>
      </c>
      <c r="D8" s="27"/>
      <c r="E8" s="28"/>
      <c r="F8" s="23"/>
      <c r="G8" s="24">
        <v>64</v>
      </c>
      <c r="H8" s="29"/>
      <c r="I8" s="29"/>
      <c r="J8" s="30">
        <v>4</v>
      </c>
      <c r="K8" s="16">
        <f t="shared" ref="K8" si="0">J8*8</f>
        <v>32</v>
      </c>
      <c r="L8" s="17"/>
      <c r="M8" s="16"/>
      <c r="N8" s="16"/>
      <c r="O8" s="16">
        <f t="shared" ref="O8" si="1">N8+M8+K8</f>
        <v>32</v>
      </c>
      <c r="P8" s="25"/>
      <c r="Q8" s="25"/>
      <c r="R8" s="23"/>
      <c r="S8" s="28"/>
      <c r="T8" s="32"/>
      <c r="U8" s="32"/>
    </row>
    <row r="9" spans="1:21" s="1" customFormat="1" ht="18.75" customHeight="1">
      <c r="A9" s="11">
        <v>7</v>
      </c>
      <c r="B9" s="26" t="s">
        <v>30</v>
      </c>
      <c r="C9" s="26" t="s">
        <v>28</v>
      </c>
      <c r="D9" s="27"/>
      <c r="E9" s="28"/>
      <c r="F9" s="23"/>
      <c r="G9" s="24"/>
      <c r="H9" s="29"/>
      <c r="I9" s="29"/>
      <c r="J9" s="30"/>
      <c r="K9" s="16"/>
      <c r="L9" s="17"/>
      <c r="M9" s="16"/>
      <c r="N9" s="16"/>
      <c r="O9" s="16"/>
      <c r="P9" s="33"/>
      <c r="Q9" s="33">
        <v>26</v>
      </c>
      <c r="R9" s="34">
        <v>32</v>
      </c>
      <c r="S9" s="32"/>
      <c r="T9" s="32"/>
      <c r="U9" s="35"/>
    </row>
    <row r="10" spans="1:21" s="1" customFormat="1" ht="18.75" customHeight="1">
      <c r="A10" s="11">
        <v>8</v>
      </c>
      <c r="B10" s="26" t="s">
        <v>31</v>
      </c>
      <c r="C10" s="26" t="s">
        <v>28</v>
      </c>
      <c r="D10" s="27"/>
      <c r="E10" s="28"/>
      <c r="F10" s="23"/>
      <c r="G10" s="24">
        <v>112</v>
      </c>
      <c r="H10" s="29"/>
      <c r="I10" s="29"/>
      <c r="J10" s="30">
        <v>1</v>
      </c>
      <c r="K10" s="16">
        <f t="shared" ref="K10" si="2">J10*8</f>
        <v>8</v>
      </c>
      <c r="L10" s="17"/>
      <c r="M10" s="16"/>
      <c r="N10" s="16"/>
      <c r="O10" s="16">
        <f t="shared" ref="O10" si="3">N10+M10+K10</f>
        <v>8</v>
      </c>
      <c r="P10" s="25"/>
      <c r="Q10" s="25"/>
      <c r="R10" s="23"/>
      <c r="S10" s="28"/>
      <c r="T10" s="32"/>
      <c r="U10" s="32"/>
    </row>
    <row r="11" spans="1:21" s="1" customFormat="1" ht="18.75" customHeight="1">
      <c r="A11" s="11">
        <v>9</v>
      </c>
      <c r="B11" s="26" t="s">
        <v>32</v>
      </c>
      <c r="C11" s="26" t="s">
        <v>28</v>
      </c>
      <c r="D11" s="36"/>
      <c r="E11" s="28"/>
      <c r="F11" s="23"/>
      <c r="G11" s="24">
        <v>16</v>
      </c>
      <c r="H11" s="29"/>
      <c r="I11" s="29"/>
      <c r="J11" s="30"/>
      <c r="K11" s="16"/>
      <c r="L11" s="17"/>
      <c r="M11" s="16"/>
      <c r="N11" s="16"/>
      <c r="O11" s="16"/>
      <c r="P11" s="25"/>
      <c r="Q11" s="25">
        <v>28</v>
      </c>
      <c r="R11" s="23">
        <v>16</v>
      </c>
      <c r="S11" s="28"/>
      <c r="T11" s="32"/>
      <c r="U11" s="32"/>
    </row>
    <row r="12" spans="1:21" s="1" customFormat="1" ht="18.75" customHeight="1">
      <c r="A12" s="11">
        <v>10</v>
      </c>
      <c r="B12" s="26" t="s">
        <v>33</v>
      </c>
      <c r="C12" s="26" t="s">
        <v>28</v>
      </c>
      <c r="D12" s="27"/>
      <c r="E12" s="28"/>
      <c r="F12" s="23"/>
      <c r="G12" s="24">
        <v>40</v>
      </c>
      <c r="H12" s="29"/>
      <c r="I12" s="29"/>
      <c r="J12" s="30">
        <v>3</v>
      </c>
      <c r="K12" s="16">
        <f t="shared" ref="K12:K13" si="4">J12*8</f>
        <v>24</v>
      </c>
      <c r="L12" s="17">
        <v>4</v>
      </c>
      <c r="M12" s="16">
        <f t="shared" ref="M12" si="5">L12*12</f>
        <v>48</v>
      </c>
      <c r="N12" s="16">
        <f t="shared" ref="N12" si="6">L12*4</f>
        <v>16</v>
      </c>
      <c r="O12" s="16">
        <f t="shared" ref="O12:O13" si="7">N12+M12+K12</f>
        <v>88</v>
      </c>
      <c r="P12" s="25"/>
      <c r="Q12" s="25"/>
      <c r="R12" s="23"/>
      <c r="S12" s="28"/>
      <c r="T12" s="32"/>
      <c r="U12" s="32"/>
    </row>
    <row r="13" spans="1:21" s="1" customFormat="1" ht="18.75" customHeight="1">
      <c r="A13" s="11">
        <v>11</v>
      </c>
      <c r="B13" s="26" t="s">
        <v>34</v>
      </c>
      <c r="C13" s="26" t="s">
        <v>28</v>
      </c>
      <c r="D13" s="27"/>
      <c r="E13" s="28"/>
      <c r="F13" s="23"/>
      <c r="G13" s="24">
        <v>64</v>
      </c>
      <c r="H13" s="29"/>
      <c r="I13" s="29"/>
      <c r="J13" s="30">
        <v>4</v>
      </c>
      <c r="K13" s="16">
        <f t="shared" si="4"/>
        <v>32</v>
      </c>
      <c r="L13" s="17"/>
      <c r="M13" s="16"/>
      <c r="N13" s="16"/>
      <c r="O13" s="16">
        <f t="shared" si="7"/>
        <v>32</v>
      </c>
      <c r="P13" s="25"/>
      <c r="Q13" s="33"/>
      <c r="R13" s="23"/>
      <c r="S13" s="28"/>
      <c r="T13" s="32"/>
      <c r="U13" s="32"/>
    </row>
    <row r="14" spans="1:21" s="1" customFormat="1" ht="18.75" customHeight="1">
      <c r="A14" s="11">
        <v>12</v>
      </c>
      <c r="B14" s="26" t="s">
        <v>35</v>
      </c>
      <c r="C14" s="26" t="s">
        <v>28</v>
      </c>
      <c r="D14" s="27"/>
      <c r="E14" s="28"/>
      <c r="F14" s="23"/>
      <c r="G14" s="24">
        <v>40</v>
      </c>
      <c r="H14" s="29"/>
      <c r="I14" s="29"/>
      <c r="J14" s="30"/>
      <c r="K14" s="16"/>
      <c r="L14" s="17"/>
      <c r="M14" s="16"/>
      <c r="N14" s="16"/>
      <c r="O14" s="16"/>
      <c r="P14" s="25"/>
      <c r="Q14" s="25"/>
      <c r="R14" s="23"/>
      <c r="S14" s="28"/>
      <c r="T14" s="32"/>
      <c r="U14" s="32"/>
    </row>
    <row r="15" spans="1:21" s="1" customFormat="1" ht="18.75" customHeight="1">
      <c r="A15" s="11">
        <v>13</v>
      </c>
      <c r="B15" s="26" t="s">
        <v>36</v>
      </c>
      <c r="C15" s="26" t="s">
        <v>28</v>
      </c>
      <c r="D15" s="27"/>
      <c r="E15" s="28"/>
      <c r="F15" s="23"/>
      <c r="G15" s="24">
        <v>120</v>
      </c>
      <c r="H15" s="29"/>
      <c r="I15" s="29"/>
      <c r="J15" s="30"/>
      <c r="K15" s="16"/>
      <c r="L15" s="17"/>
      <c r="M15" s="16"/>
      <c r="N15" s="16"/>
      <c r="O15" s="16"/>
      <c r="P15" s="25"/>
      <c r="Q15" s="25"/>
      <c r="R15" s="23"/>
      <c r="S15" s="28"/>
      <c r="T15" s="32"/>
      <c r="U15" s="32"/>
    </row>
    <row r="16" spans="1:21" s="1" customFormat="1" ht="18.75" customHeight="1">
      <c r="A16" s="11">
        <v>14</v>
      </c>
      <c r="B16" s="32" t="s">
        <v>37</v>
      </c>
      <c r="C16" s="32" t="s">
        <v>28</v>
      </c>
      <c r="D16" s="27"/>
      <c r="E16" s="28"/>
      <c r="F16" s="23"/>
      <c r="G16" s="24">
        <v>120</v>
      </c>
      <c r="H16" s="29"/>
      <c r="I16" s="29"/>
      <c r="J16" s="30"/>
      <c r="K16" s="16"/>
      <c r="L16" s="17"/>
      <c r="M16" s="16"/>
      <c r="N16" s="16"/>
      <c r="O16" s="16"/>
      <c r="P16" s="25"/>
      <c r="Q16" s="25"/>
      <c r="R16" s="23"/>
      <c r="S16" s="28"/>
      <c r="T16" s="32"/>
      <c r="U16" s="32"/>
    </row>
    <row r="17" spans="1:26" s="1" customFormat="1" ht="18.75" customHeight="1">
      <c r="A17" s="11">
        <v>15</v>
      </c>
      <c r="B17" s="32" t="s">
        <v>38</v>
      </c>
      <c r="C17" s="37" t="s">
        <v>28</v>
      </c>
      <c r="D17" s="27"/>
      <c r="E17" s="28"/>
      <c r="F17" s="23"/>
      <c r="G17" s="24">
        <v>120</v>
      </c>
      <c r="H17" s="29"/>
      <c r="I17" s="29"/>
      <c r="J17" s="30"/>
      <c r="K17" s="16"/>
      <c r="L17" s="17"/>
      <c r="M17" s="16"/>
      <c r="N17" s="16"/>
      <c r="O17" s="16"/>
      <c r="P17" s="25"/>
      <c r="Q17" s="25"/>
      <c r="R17" s="23"/>
      <c r="S17" s="28"/>
      <c r="T17" s="32"/>
      <c r="U17" s="32"/>
    </row>
    <row r="18" spans="1:26" s="1" customFormat="1" ht="18.75" customHeight="1">
      <c r="A18" s="11">
        <v>16</v>
      </c>
      <c r="B18" s="32" t="s">
        <v>39</v>
      </c>
      <c r="C18" s="37" t="s">
        <v>28</v>
      </c>
      <c r="D18" s="27" t="s">
        <v>40</v>
      </c>
      <c r="E18" s="23"/>
      <c r="F18" s="23"/>
      <c r="G18" s="24"/>
      <c r="H18" s="29"/>
      <c r="I18" s="29"/>
      <c r="J18" s="30"/>
      <c r="K18" s="16"/>
      <c r="L18" s="17"/>
      <c r="M18" s="16"/>
      <c r="N18" s="16"/>
      <c r="O18" s="16"/>
      <c r="P18" s="25"/>
      <c r="Q18" s="25"/>
      <c r="R18" s="23"/>
      <c r="S18" s="28"/>
      <c r="T18" s="32"/>
      <c r="U18" s="32"/>
    </row>
    <row r="19" spans="1:26" s="1" customFormat="1" ht="18.75" customHeight="1">
      <c r="A19" s="11">
        <v>17</v>
      </c>
      <c r="B19" s="32" t="s">
        <v>41</v>
      </c>
      <c r="C19" s="32" t="s">
        <v>28</v>
      </c>
      <c r="D19" s="27">
        <v>16</v>
      </c>
      <c r="E19" s="28"/>
      <c r="F19" s="23"/>
      <c r="G19" s="24"/>
      <c r="H19" s="29"/>
      <c r="I19" s="29"/>
      <c r="J19" s="30"/>
      <c r="K19" s="16"/>
      <c r="L19" s="17"/>
      <c r="M19" s="16"/>
      <c r="N19" s="16"/>
      <c r="O19" s="16"/>
      <c r="P19" s="25"/>
      <c r="Q19" s="25">
        <v>8</v>
      </c>
      <c r="R19" s="23">
        <v>32</v>
      </c>
      <c r="S19" s="28"/>
      <c r="T19" s="32"/>
      <c r="U19" s="32"/>
    </row>
    <row r="20" spans="1:26" s="1" customFormat="1" ht="18.75" customHeight="1">
      <c r="A20" s="11">
        <v>18</v>
      </c>
      <c r="B20" s="32" t="s">
        <v>42</v>
      </c>
      <c r="C20" s="32" t="s">
        <v>28</v>
      </c>
      <c r="D20" s="27"/>
      <c r="E20" s="28"/>
      <c r="F20" s="23"/>
      <c r="G20" s="24">
        <v>88</v>
      </c>
      <c r="H20" s="29"/>
      <c r="I20" s="29"/>
      <c r="J20" s="30"/>
      <c r="K20" s="16"/>
      <c r="L20" s="17"/>
      <c r="M20" s="16"/>
      <c r="N20" s="16"/>
      <c r="O20" s="16"/>
      <c r="P20" s="25"/>
      <c r="Q20" s="25"/>
      <c r="R20" s="23"/>
      <c r="S20" s="28"/>
      <c r="T20" s="32"/>
      <c r="U20" s="32"/>
    </row>
    <row r="21" spans="1:26" s="1" customFormat="1" ht="18.75" customHeight="1">
      <c r="A21" s="11">
        <v>19</v>
      </c>
      <c r="B21" s="32" t="s">
        <v>43</v>
      </c>
      <c r="C21" s="37" t="s">
        <v>28</v>
      </c>
      <c r="D21" s="27"/>
      <c r="E21" s="28"/>
      <c r="F21" s="23"/>
      <c r="G21" s="24">
        <v>40</v>
      </c>
      <c r="H21" s="29"/>
      <c r="I21" s="29"/>
      <c r="J21" s="30"/>
      <c r="K21" s="16"/>
      <c r="L21" s="17"/>
      <c r="M21" s="16"/>
      <c r="N21" s="16"/>
      <c r="O21" s="16"/>
      <c r="P21" s="25"/>
      <c r="Q21" s="25"/>
      <c r="R21" s="23"/>
      <c r="S21" s="28"/>
      <c r="T21" s="32"/>
      <c r="U21" s="32"/>
    </row>
    <row r="22" spans="1:26" s="1" customFormat="1" ht="18.75" customHeight="1">
      <c r="A22" s="11">
        <v>20</v>
      </c>
      <c r="B22" s="32" t="s">
        <v>44</v>
      </c>
      <c r="C22" s="37" t="s">
        <v>28</v>
      </c>
      <c r="D22" s="27"/>
      <c r="E22" s="28"/>
      <c r="F22" s="23"/>
      <c r="G22" s="24">
        <v>88</v>
      </c>
      <c r="H22" s="29"/>
      <c r="I22" s="29"/>
      <c r="J22" s="30">
        <v>0.5</v>
      </c>
      <c r="K22" s="16">
        <f t="shared" ref="K22:K77" si="8">J22*8</f>
        <v>4</v>
      </c>
      <c r="L22" s="17">
        <v>3</v>
      </c>
      <c r="M22" s="16">
        <f t="shared" ref="M22:M59" si="9">L22*12</f>
        <v>36</v>
      </c>
      <c r="N22" s="16">
        <f t="shared" ref="N22:N59" si="10">L22*4</f>
        <v>12</v>
      </c>
      <c r="O22" s="16">
        <f t="shared" ref="O22:O77" si="11">N22+M22+K22</f>
        <v>52</v>
      </c>
      <c r="P22" s="25"/>
      <c r="Q22" s="25"/>
      <c r="R22" s="23"/>
      <c r="S22" s="28"/>
      <c r="T22" s="32"/>
      <c r="U22" s="32"/>
    </row>
    <row r="23" spans="1:26" s="1" customFormat="1" ht="18.75" customHeight="1">
      <c r="A23" s="11">
        <v>21</v>
      </c>
      <c r="B23" s="32" t="s">
        <v>45</v>
      </c>
      <c r="C23" s="37" t="s">
        <v>28</v>
      </c>
      <c r="D23" s="27"/>
      <c r="E23" s="28"/>
      <c r="F23" s="23"/>
      <c r="G23" s="24">
        <v>120</v>
      </c>
      <c r="H23" s="29"/>
      <c r="I23" s="38"/>
      <c r="J23" s="30"/>
      <c r="K23" s="16"/>
      <c r="L23" s="17"/>
      <c r="M23" s="16"/>
      <c r="N23" s="16"/>
      <c r="O23" s="16"/>
      <c r="P23" s="25"/>
      <c r="Q23" s="25"/>
      <c r="R23" s="23"/>
      <c r="S23" s="28"/>
      <c r="T23" s="32"/>
      <c r="U23" s="32"/>
    </row>
    <row r="24" spans="1:26" s="1" customFormat="1" ht="18.75" customHeight="1">
      <c r="A24" s="11">
        <v>22</v>
      </c>
      <c r="B24" s="32" t="s">
        <v>46</v>
      </c>
      <c r="C24" s="37" t="s">
        <v>28</v>
      </c>
      <c r="D24" s="27"/>
      <c r="E24" s="28"/>
      <c r="F24" s="23"/>
      <c r="G24" s="24">
        <v>88</v>
      </c>
      <c r="H24" s="29"/>
      <c r="I24" s="39"/>
      <c r="J24" s="30">
        <v>4</v>
      </c>
      <c r="K24" s="16">
        <f t="shared" si="8"/>
        <v>32</v>
      </c>
      <c r="L24" s="17"/>
      <c r="M24" s="16"/>
      <c r="N24" s="16"/>
      <c r="O24" s="16">
        <f t="shared" si="11"/>
        <v>32</v>
      </c>
      <c r="P24" s="33"/>
      <c r="Q24" s="33"/>
      <c r="R24" s="34"/>
      <c r="S24" s="32"/>
      <c r="T24" s="32"/>
      <c r="U24" s="32"/>
    </row>
    <row r="25" spans="1:26" s="1" customFormat="1" ht="18.75" customHeight="1">
      <c r="A25" s="11">
        <v>23</v>
      </c>
      <c r="B25" s="32" t="s">
        <v>47</v>
      </c>
      <c r="C25" s="37" t="s">
        <v>28</v>
      </c>
      <c r="D25" s="27"/>
      <c r="E25" s="28"/>
      <c r="F25" s="23"/>
      <c r="G25" s="24">
        <v>120</v>
      </c>
      <c r="H25" s="29"/>
      <c r="I25" s="38"/>
      <c r="J25" s="30"/>
      <c r="K25" s="16"/>
      <c r="L25" s="17"/>
      <c r="M25" s="16"/>
      <c r="N25" s="16"/>
      <c r="O25" s="16"/>
      <c r="P25" s="25"/>
      <c r="Q25" s="25"/>
      <c r="R25" s="23"/>
      <c r="S25" s="28"/>
      <c r="T25" s="32"/>
      <c r="U25" s="32"/>
    </row>
    <row r="26" spans="1:26" s="1" customFormat="1" ht="18.75" customHeight="1">
      <c r="A26" s="11">
        <v>24</v>
      </c>
      <c r="B26" s="32" t="s">
        <v>48</v>
      </c>
      <c r="C26" s="34" t="s">
        <v>28</v>
      </c>
      <c r="D26" s="27"/>
      <c r="E26" s="28"/>
      <c r="F26" s="23"/>
      <c r="G26" s="24">
        <v>40</v>
      </c>
      <c r="H26" s="29"/>
      <c r="I26" s="39"/>
      <c r="J26" s="30"/>
      <c r="K26" s="16"/>
      <c r="L26" s="17"/>
      <c r="M26" s="16"/>
      <c r="N26" s="16"/>
      <c r="O26" s="16"/>
      <c r="P26" s="25"/>
      <c r="Q26" s="25"/>
      <c r="R26" s="23"/>
      <c r="S26" s="28"/>
      <c r="T26" s="32"/>
      <c r="U26" s="32"/>
    </row>
    <row r="27" spans="1:26" s="1" customFormat="1" ht="18.75" customHeight="1">
      <c r="A27" s="11">
        <v>25</v>
      </c>
      <c r="B27" s="32" t="s">
        <v>49</v>
      </c>
      <c r="C27" s="37" t="s">
        <v>28</v>
      </c>
      <c r="E27" s="80"/>
      <c r="F27" s="88"/>
      <c r="G27" s="30">
        <v>80</v>
      </c>
      <c r="H27" s="80"/>
      <c r="I27" s="80"/>
      <c r="J27" s="30"/>
      <c r="K27" s="16"/>
      <c r="L27" s="17"/>
      <c r="M27" s="16"/>
      <c r="N27" s="16"/>
      <c r="O27" s="16"/>
      <c r="P27" s="25"/>
      <c r="Q27" s="25"/>
      <c r="R27" s="23"/>
      <c r="S27" s="28"/>
      <c r="T27" s="32"/>
      <c r="U27" s="32"/>
    </row>
    <row r="28" spans="1:26" s="1" customFormat="1" ht="18.75" customHeight="1">
      <c r="A28" s="11">
        <v>26</v>
      </c>
      <c r="B28" s="32" t="s">
        <v>50</v>
      </c>
      <c r="C28" s="34" t="s">
        <v>28</v>
      </c>
      <c r="D28" s="80" t="s">
        <v>456</v>
      </c>
      <c r="E28" s="80"/>
      <c r="F28" s="88"/>
      <c r="G28" s="30"/>
      <c r="H28" s="80"/>
      <c r="I28" s="80"/>
      <c r="J28" s="30"/>
      <c r="K28" s="16"/>
      <c r="L28" s="17"/>
      <c r="M28" s="16"/>
      <c r="N28" s="16"/>
      <c r="O28" s="16"/>
      <c r="P28" s="25"/>
      <c r="Q28" s="25"/>
      <c r="R28" s="23"/>
      <c r="S28" s="28"/>
      <c r="T28" s="32"/>
      <c r="U28" s="32"/>
    </row>
    <row r="29" spans="1:26" s="1" customFormat="1" ht="18.75" customHeight="1">
      <c r="A29" s="11">
        <v>27</v>
      </c>
      <c r="B29" s="32" t="s">
        <v>51</v>
      </c>
      <c r="C29" s="34" t="s">
        <v>28</v>
      </c>
      <c r="D29" s="80" t="s">
        <v>451</v>
      </c>
      <c r="E29" s="80"/>
      <c r="F29" s="88"/>
      <c r="G29" s="30"/>
      <c r="H29" s="80"/>
      <c r="I29" s="80"/>
      <c r="J29" s="30"/>
      <c r="K29" s="16"/>
      <c r="L29" s="17"/>
      <c r="M29" s="16"/>
      <c r="N29" s="16"/>
      <c r="O29" s="16"/>
      <c r="P29" s="25"/>
      <c r="Q29" s="25"/>
      <c r="R29" s="23"/>
      <c r="S29" s="28"/>
      <c r="T29" s="34"/>
      <c r="U29" s="34"/>
      <c r="Y29" s="40"/>
      <c r="Z29" s="40"/>
    </row>
    <row r="30" spans="1:26" s="1" customFormat="1" ht="18.75" customHeight="1">
      <c r="A30" s="11">
        <v>28</v>
      </c>
      <c r="B30" s="32" t="s">
        <v>52</v>
      </c>
      <c r="C30" s="34" t="s">
        <v>28</v>
      </c>
      <c r="D30" s="80"/>
      <c r="E30" s="80"/>
      <c r="F30" s="88"/>
      <c r="G30" s="30">
        <v>112</v>
      </c>
      <c r="H30" s="80"/>
      <c r="I30" s="80"/>
      <c r="J30" s="30">
        <v>1</v>
      </c>
      <c r="K30" s="16">
        <f t="shared" si="8"/>
        <v>8</v>
      </c>
      <c r="L30" s="17"/>
      <c r="M30" s="16"/>
      <c r="N30" s="16"/>
      <c r="O30" s="16">
        <f t="shared" si="11"/>
        <v>8</v>
      </c>
      <c r="P30" s="25"/>
      <c r="Q30" s="25"/>
      <c r="R30" s="23"/>
      <c r="S30" s="28"/>
      <c r="T30" s="34"/>
      <c r="U30" s="34"/>
      <c r="Y30" s="40"/>
      <c r="Z30" s="40"/>
    </row>
    <row r="31" spans="1:26" s="1" customFormat="1" ht="18.75" customHeight="1">
      <c r="A31" s="11">
        <v>29</v>
      </c>
      <c r="B31" s="32" t="s">
        <v>53</v>
      </c>
      <c r="C31" s="34" t="s">
        <v>28</v>
      </c>
      <c r="D31" s="80"/>
      <c r="E31" s="80"/>
      <c r="F31" s="88"/>
      <c r="G31" s="30">
        <v>48</v>
      </c>
      <c r="H31" s="80"/>
      <c r="I31" s="80"/>
      <c r="J31" s="30"/>
      <c r="K31" s="16"/>
      <c r="L31" s="17"/>
      <c r="M31" s="16"/>
      <c r="N31" s="16"/>
      <c r="O31" s="16"/>
      <c r="P31" s="25"/>
      <c r="Q31" s="25"/>
      <c r="R31" s="23"/>
      <c r="S31" s="28"/>
      <c r="T31" s="34"/>
      <c r="U31" s="34"/>
      <c r="Y31" s="40"/>
      <c r="Z31" s="40"/>
    </row>
    <row r="32" spans="1:26" s="1" customFormat="1" ht="18.75" customHeight="1">
      <c r="A32" s="11">
        <v>30</v>
      </c>
      <c r="B32" s="32" t="s">
        <v>54</v>
      </c>
      <c r="C32" s="34" t="s">
        <v>28</v>
      </c>
      <c r="D32" s="80"/>
      <c r="E32" s="80"/>
      <c r="F32" s="88"/>
      <c r="G32" s="30">
        <v>88</v>
      </c>
      <c r="H32" s="80"/>
      <c r="I32" s="80"/>
      <c r="J32" s="30"/>
      <c r="K32" s="16"/>
      <c r="L32" s="17"/>
      <c r="M32" s="16"/>
      <c r="N32" s="16"/>
      <c r="O32" s="16"/>
      <c r="P32" s="25"/>
      <c r="Q32" s="25"/>
      <c r="R32" s="23"/>
      <c r="S32" s="23"/>
      <c r="T32" s="34"/>
      <c r="U32" s="34"/>
      <c r="Y32" s="40"/>
      <c r="Z32" s="40"/>
    </row>
    <row r="33" spans="1:21" s="1" customFormat="1" ht="18.75" customHeight="1">
      <c r="A33" s="11">
        <v>31</v>
      </c>
      <c r="B33" s="32" t="s">
        <v>55</v>
      </c>
      <c r="C33" s="34" t="s">
        <v>28</v>
      </c>
      <c r="D33" s="80"/>
      <c r="E33" s="80"/>
      <c r="F33" s="88"/>
      <c r="G33" s="30">
        <v>40</v>
      </c>
      <c r="H33" s="80"/>
      <c r="I33" s="80"/>
      <c r="J33" s="30">
        <v>2</v>
      </c>
      <c r="K33" s="16">
        <f t="shared" si="8"/>
        <v>16</v>
      </c>
      <c r="L33" s="17"/>
      <c r="M33" s="16"/>
      <c r="N33" s="16"/>
      <c r="O33" s="16">
        <f t="shared" si="11"/>
        <v>16</v>
      </c>
      <c r="P33" s="25"/>
      <c r="Q33" s="25"/>
      <c r="R33" s="23"/>
      <c r="S33" s="28"/>
      <c r="T33" s="34"/>
      <c r="U33" s="34"/>
    </row>
    <row r="34" spans="1:21" s="1" customFormat="1" ht="18.75" customHeight="1">
      <c r="A34" s="11">
        <v>32</v>
      </c>
      <c r="B34" s="32" t="s">
        <v>56</v>
      </c>
      <c r="C34" s="34" t="s">
        <v>28</v>
      </c>
      <c r="D34" s="80" t="s">
        <v>450</v>
      </c>
      <c r="E34" s="80"/>
      <c r="F34" s="88"/>
      <c r="G34" s="30"/>
      <c r="H34" s="80"/>
      <c r="I34" s="80"/>
      <c r="J34" s="30"/>
      <c r="K34" s="16"/>
      <c r="L34" s="17"/>
      <c r="M34" s="16"/>
      <c r="N34" s="16"/>
      <c r="O34" s="16"/>
      <c r="P34" s="25"/>
      <c r="Q34" s="25"/>
      <c r="R34" s="23"/>
      <c r="S34" s="28"/>
      <c r="T34" s="34"/>
      <c r="U34" s="34"/>
    </row>
    <row r="35" spans="1:21" s="1" customFormat="1" ht="18.75" customHeight="1">
      <c r="A35" s="11">
        <v>33</v>
      </c>
      <c r="B35" s="32" t="s">
        <v>57</v>
      </c>
      <c r="C35" s="34" t="s">
        <v>28</v>
      </c>
      <c r="D35" s="36"/>
      <c r="E35" s="28"/>
      <c r="F35" s="23"/>
      <c r="G35" s="30"/>
      <c r="H35" s="39"/>
      <c r="I35" s="39"/>
      <c r="J35" s="30">
        <v>1</v>
      </c>
      <c r="K35" s="16">
        <f t="shared" si="8"/>
        <v>8</v>
      </c>
      <c r="L35" s="17"/>
      <c r="M35" s="16"/>
      <c r="N35" s="16"/>
      <c r="O35" s="16">
        <f t="shared" si="11"/>
        <v>8</v>
      </c>
      <c r="P35" s="25">
        <v>28</v>
      </c>
      <c r="Q35" s="25"/>
      <c r="R35" s="23"/>
      <c r="S35" s="28">
        <v>26</v>
      </c>
      <c r="T35" s="34"/>
      <c r="U35" s="34"/>
    </row>
    <row r="36" spans="1:21" s="1" customFormat="1" ht="18.75" customHeight="1">
      <c r="A36" s="11">
        <v>34</v>
      </c>
      <c r="B36" s="32" t="s">
        <v>58</v>
      </c>
      <c r="C36" s="34" t="s">
        <v>28</v>
      </c>
      <c r="D36" s="36"/>
      <c r="E36" s="28"/>
      <c r="F36" s="23"/>
      <c r="G36" s="30">
        <v>72</v>
      </c>
      <c r="H36" s="39"/>
      <c r="I36" s="39"/>
      <c r="J36" s="30">
        <v>8</v>
      </c>
      <c r="K36" s="16">
        <f t="shared" si="8"/>
        <v>64</v>
      </c>
      <c r="L36" s="17"/>
      <c r="M36" s="16"/>
      <c r="N36" s="16"/>
      <c r="O36" s="16">
        <f t="shared" si="11"/>
        <v>64</v>
      </c>
      <c r="P36" s="25"/>
      <c r="Q36" s="25"/>
      <c r="R36" s="23"/>
      <c r="S36" s="28"/>
      <c r="T36" s="34"/>
      <c r="U36" s="34"/>
    </row>
    <row r="37" spans="1:21" s="1" customFormat="1" ht="18.75" customHeight="1">
      <c r="A37" s="11">
        <v>35</v>
      </c>
      <c r="B37" s="41" t="s">
        <v>59</v>
      </c>
      <c r="C37" s="34" t="s">
        <v>28</v>
      </c>
      <c r="D37" s="36" t="s">
        <v>40</v>
      </c>
      <c r="E37" s="28"/>
      <c r="F37" s="23"/>
      <c r="G37" s="24"/>
      <c r="H37" s="39"/>
      <c r="I37" s="39"/>
      <c r="J37" s="30"/>
      <c r="K37" s="16"/>
      <c r="L37" s="17"/>
      <c r="M37" s="16"/>
      <c r="N37" s="16"/>
      <c r="O37" s="16"/>
      <c r="P37" s="25"/>
      <c r="Q37" s="33"/>
      <c r="R37" s="23"/>
      <c r="S37" s="28"/>
      <c r="T37" s="34"/>
      <c r="U37" s="34"/>
    </row>
    <row r="38" spans="1:21" s="1" customFormat="1" ht="18.75" customHeight="1">
      <c r="A38" s="11">
        <v>36</v>
      </c>
      <c r="B38" s="41" t="s">
        <v>60</v>
      </c>
      <c r="C38" s="34" t="s">
        <v>28</v>
      </c>
      <c r="D38" s="36"/>
      <c r="E38" s="28"/>
      <c r="F38" s="23"/>
      <c r="G38" s="24">
        <v>72</v>
      </c>
      <c r="H38" s="39"/>
      <c r="I38" s="39"/>
      <c r="J38" s="30">
        <v>3</v>
      </c>
      <c r="K38" s="16">
        <f t="shared" si="8"/>
        <v>24</v>
      </c>
      <c r="L38" s="17"/>
      <c r="M38" s="16"/>
      <c r="N38" s="16"/>
      <c r="O38" s="16">
        <f t="shared" si="11"/>
        <v>24</v>
      </c>
      <c r="P38" s="25"/>
      <c r="Q38" s="33"/>
      <c r="R38" s="23"/>
      <c r="S38" s="28"/>
      <c r="T38" s="34"/>
      <c r="U38" s="34"/>
    </row>
    <row r="39" spans="1:21" ht="18.75" customHeight="1">
      <c r="A39" s="11">
        <v>37</v>
      </c>
      <c r="B39" s="41" t="s">
        <v>61</v>
      </c>
      <c r="C39" s="34" t="s">
        <v>28</v>
      </c>
      <c r="D39" s="36"/>
      <c r="E39" s="28"/>
      <c r="F39" s="23"/>
      <c r="G39" s="24">
        <v>40</v>
      </c>
      <c r="H39" s="39"/>
      <c r="I39" s="39"/>
      <c r="J39" s="30"/>
      <c r="K39" s="16"/>
      <c r="L39" s="17"/>
      <c r="M39" s="16"/>
      <c r="N39" s="16"/>
      <c r="O39" s="16"/>
      <c r="P39" s="25"/>
      <c r="Q39" s="33"/>
      <c r="R39" s="23"/>
      <c r="S39" s="28"/>
      <c r="T39" s="34"/>
      <c r="U39" s="34"/>
    </row>
    <row r="40" spans="1:21" s="1" customFormat="1" ht="18.75" customHeight="1">
      <c r="A40" s="11">
        <v>38</v>
      </c>
      <c r="B40" s="41" t="s">
        <v>62</v>
      </c>
      <c r="C40" s="34" t="s">
        <v>28</v>
      </c>
      <c r="D40" s="36"/>
      <c r="E40" s="28"/>
      <c r="F40" s="39">
        <v>120</v>
      </c>
      <c r="H40" s="39"/>
      <c r="I40" s="39"/>
      <c r="J40" s="30"/>
      <c r="K40" s="16"/>
      <c r="L40" s="17"/>
      <c r="M40" s="16"/>
      <c r="N40" s="16"/>
      <c r="O40" s="16"/>
      <c r="P40" s="25"/>
      <c r="Q40" s="33"/>
      <c r="R40" s="23"/>
      <c r="S40" s="28"/>
      <c r="T40" s="34"/>
      <c r="U40" s="34"/>
    </row>
    <row r="41" spans="1:21" s="1" customFormat="1" ht="18.75" customHeight="1">
      <c r="A41" s="11">
        <v>39</v>
      </c>
      <c r="B41" s="41" t="s">
        <v>63</v>
      </c>
      <c r="C41" s="34" t="s">
        <v>28</v>
      </c>
      <c r="D41" s="36"/>
      <c r="E41" s="28"/>
      <c r="F41" s="23"/>
      <c r="G41" s="24">
        <v>40</v>
      </c>
      <c r="H41" s="39"/>
      <c r="I41" s="39"/>
      <c r="J41" s="30"/>
      <c r="K41" s="16"/>
      <c r="L41" s="17"/>
      <c r="M41" s="16"/>
      <c r="N41" s="16"/>
      <c r="O41" s="16"/>
      <c r="P41" s="25"/>
      <c r="Q41" s="33"/>
      <c r="R41" s="23"/>
      <c r="S41" s="28"/>
      <c r="T41" s="34"/>
      <c r="U41" s="34"/>
    </row>
    <row r="42" spans="1:21" s="1" customFormat="1" ht="18.75" customHeight="1">
      <c r="A42" s="11">
        <v>40</v>
      </c>
      <c r="B42" s="41" t="s">
        <v>64</v>
      </c>
      <c r="C42" s="34" t="s">
        <v>28</v>
      </c>
      <c r="D42" s="36"/>
      <c r="E42" s="28"/>
      <c r="G42" s="24">
        <v>72</v>
      </c>
      <c r="H42" s="39"/>
      <c r="I42" s="39"/>
      <c r="J42" s="30">
        <v>2</v>
      </c>
      <c r="K42" s="16">
        <f t="shared" si="8"/>
        <v>16</v>
      </c>
      <c r="L42" s="17">
        <v>4</v>
      </c>
      <c r="M42" s="16">
        <f t="shared" si="9"/>
        <v>48</v>
      </c>
      <c r="N42" s="16">
        <f t="shared" si="10"/>
        <v>16</v>
      </c>
      <c r="O42" s="16">
        <f t="shared" si="11"/>
        <v>80</v>
      </c>
      <c r="P42" s="25"/>
      <c r="Q42" s="33"/>
      <c r="R42" s="23"/>
      <c r="S42" s="28"/>
      <c r="T42" s="34"/>
      <c r="U42" s="34"/>
    </row>
    <row r="43" spans="1:21" s="1" customFormat="1" ht="18.75" customHeight="1">
      <c r="A43" s="11">
        <v>41</v>
      </c>
      <c r="B43" s="41" t="s">
        <v>65</v>
      </c>
      <c r="C43" s="34" t="s">
        <v>28</v>
      </c>
      <c r="D43" s="36"/>
      <c r="E43" s="28"/>
      <c r="F43" s="23"/>
      <c r="G43" s="24">
        <v>112</v>
      </c>
      <c r="H43" s="39"/>
      <c r="I43" s="39"/>
      <c r="J43" s="30">
        <v>1</v>
      </c>
      <c r="K43" s="16">
        <f t="shared" si="8"/>
        <v>8</v>
      </c>
      <c r="L43" s="17"/>
      <c r="M43" s="16"/>
      <c r="N43" s="16"/>
      <c r="O43" s="16">
        <f t="shared" si="11"/>
        <v>8</v>
      </c>
      <c r="P43" s="25"/>
      <c r="Q43" s="33"/>
      <c r="R43" s="23"/>
      <c r="S43" s="28"/>
      <c r="T43" s="34"/>
      <c r="U43" s="34"/>
    </row>
    <row r="44" spans="1:21" s="1" customFormat="1" ht="18.75" customHeight="1">
      <c r="A44" s="11">
        <v>42</v>
      </c>
      <c r="B44" s="42" t="s">
        <v>66</v>
      </c>
      <c r="C44" s="34" t="s">
        <v>28</v>
      </c>
      <c r="D44" s="12"/>
      <c r="E44" s="28"/>
      <c r="F44" s="23"/>
      <c r="G44" s="24">
        <v>120</v>
      </c>
      <c r="H44" s="39"/>
      <c r="I44" s="39"/>
      <c r="J44" s="30"/>
      <c r="K44" s="16"/>
      <c r="L44" s="17"/>
      <c r="M44" s="16"/>
      <c r="N44" s="16"/>
      <c r="O44" s="16"/>
      <c r="P44" s="25"/>
      <c r="Q44" s="33"/>
      <c r="R44" s="23"/>
      <c r="S44" s="28"/>
      <c r="T44" s="34"/>
      <c r="U44" s="34"/>
    </row>
    <row r="45" spans="1:21" s="1" customFormat="1" ht="18.75" customHeight="1">
      <c r="A45" s="11">
        <v>43</v>
      </c>
      <c r="B45" s="42" t="s">
        <v>67</v>
      </c>
      <c r="C45" s="34" t="s">
        <v>28</v>
      </c>
      <c r="D45" s="12"/>
      <c r="E45" s="28"/>
      <c r="F45" s="23"/>
      <c r="G45" s="24"/>
      <c r="H45" s="39"/>
      <c r="I45" s="39"/>
      <c r="J45" s="30"/>
      <c r="K45" s="16"/>
      <c r="L45" s="17"/>
      <c r="M45" s="16"/>
      <c r="N45" s="16"/>
      <c r="O45" s="16"/>
      <c r="P45" s="25"/>
      <c r="Q45" s="33">
        <v>14</v>
      </c>
      <c r="R45" s="23">
        <v>34</v>
      </c>
      <c r="S45" s="28"/>
      <c r="T45" s="34"/>
      <c r="U45" s="34"/>
    </row>
    <row r="46" spans="1:21" s="1" customFormat="1" ht="18.75" customHeight="1">
      <c r="A46" s="11">
        <v>44</v>
      </c>
      <c r="B46" s="42" t="s">
        <v>68</v>
      </c>
      <c r="C46" s="34" t="s">
        <v>28</v>
      </c>
      <c r="D46" s="21"/>
      <c r="E46" s="28"/>
      <c r="F46" s="23"/>
      <c r="G46" s="24">
        <v>120</v>
      </c>
      <c r="H46" s="39"/>
      <c r="I46" s="39"/>
      <c r="J46" s="30"/>
      <c r="K46" s="16"/>
      <c r="L46" s="17"/>
      <c r="M46" s="16"/>
      <c r="N46" s="16"/>
      <c r="O46" s="16"/>
      <c r="P46" s="25"/>
      <c r="Q46" s="33"/>
      <c r="R46" s="23"/>
      <c r="S46" s="28"/>
      <c r="T46" s="34"/>
      <c r="U46" s="34"/>
    </row>
    <row r="47" spans="1:21" s="1" customFormat="1" ht="18.75" customHeight="1">
      <c r="A47" s="11">
        <v>45</v>
      </c>
      <c r="B47" s="42" t="s">
        <v>69</v>
      </c>
      <c r="C47" s="34" t="s">
        <v>28</v>
      </c>
      <c r="D47" s="21"/>
      <c r="E47" s="28"/>
      <c r="F47" s="23"/>
      <c r="G47" s="24">
        <v>120</v>
      </c>
      <c r="H47" s="39"/>
      <c r="I47" s="39"/>
      <c r="J47" s="30"/>
      <c r="K47" s="16"/>
      <c r="L47" s="17"/>
      <c r="M47" s="16"/>
      <c r="N47" s="16"/>
      <c r="O47" s="16"/>
      <c r="P47" s="25"/>
      <c r="Q47" s="33"/>
      <c r="R47" s="23"/>
      <c r="S47" s="28"/>
      <c r="T47" s="34"/>
      <c r="U47" s="34"/>
    </row>
    <row r="48" spans="1:21" s="1" customFormat="1" ht="18.75" customHeight="1">
      <c r="A48" s="11">
        <v>46</v>
      </c>
      <c r="B48" s="42" t="s">
        <v>70</v>
      </c>
      <c r="C48" s="34" t="s">
        <v>28</v>
      </c>
      <c r="D48" s="21"/>
      <c r="E48" s="28"/>
      <c r="F48" s="23"/>
      <c r="G48" s="24">
        <v>40</v>
      </c>
      <c r="H48" s="39"/>
      <c r="I48" s="39"/>
      <c r="J48" s="30"/>
      <c r="K48" s="16"/>
      <c r="L48" s="17"/>
      <c r="M48" s="16"/>
      <c r="N48" s="16"/>
      <c r="O48" s="16"/>
      <c r="P48" s="25"/>
      <c r="Q48" s="33"/>
      <c r="R48" s="23"/>
      <c r="S48" s="28"/>
      <c r="T48" s="34"/>
      <c r="U48" s="34"/>
    </row>
    <row r="49" spans="1:21" s="1" customFormat="1" ht="18.75" customHeight="1">
      <c r="A49" s="11">
        <v>47</v>
      </c>
      <c r="B49" s="42" t="s">
        <v>71</v>
      </c>
      <c r="C49" s="34" t="s">
        <v>28</v>
      </c>
      <c r="D49" s="43"/>
      <c r="E49" s="28"/>
      <c r="F49" s="23"/>
      <c r="G49" s="24">
        <v>88</v>
      </c>
      <c r="H49" s="39"/>
      <c r="I49" s="39"/>
      <c r="J49" s="30"/>
      <c r="K49" s="16"/>
      <c r="L49" s="17"/>
      <c r="M49" s="16"/>
      <c r="N49" s="16"/>
      <c r="O49" s="16"/>
      <c r="P49" s="25"/>
      <c r="Q49" s="33"/>
      <c r="R49" s="23"/>
      <c r="S49" s="28"/>
      <c r="T49" s="34"/>
      <c r="U49" s="34"/>
    </row>
    <row r="50" spans="1:21" s="1" customFormat="1" ht="18.75" customHeight="1">
      <c r="A50" s="11">
        <v>48</v>
      </c>
      <c r="B50" s="42" t="s">
        <v>72</v>
      </c>
      <c r="C50" s="34" t="s">
        <v>28</v>
      </c>
      <c r="D50" s="44" t="s">
        <v>449</v>
      </c>
      <c r="E50" s="28"/>
      <c r="F50" s="23">
        <v>112</v>
      </c>
      <c r="G50" s="24">
        <v>8</v>
      </c>
      <c r="H50" s="39"/>
      <c r="I50" s="39"/>
      <c r="J50" s="30"/>
      <c r="K50" s="16"/>
      <c r="L50" s="17"/>
      <c r="M50" s="16"/>
      <c r="N50" s="16"/>
      <c r="O50" s="16"/>
      <c r="P50" s="25"/>
      <c r="Q50" s="33"/>
      <c r="R50" s="23"/>
      <c r="S50" s="28"/>
      <c r="T50" s="34"/>
      <c r="U50" s="34"/>
    </row>
    <row r="51" spans="1:21" s="1" customFormat="1" ht="18.75" customHeight="1">
      <c r="A51" s="11">
        <v>49</v>
      </c>
      <c r="B51" s="42" t="s">
        <v>73</v>
      </c>
      <c r="C51" s="34" t="s">
        <v>28</v>
      </c>
      <c r="D51" s="44"/>
      <c r="E51" s="28"/>
      <c r="F51" s="23"/>
      <c r="G51" s="24">
        <v>40</v>
      </c>
      <c r="H51" s="39"/>
      <c r="I51" s="39"/>
      <c r="J51" s="30"/>
      <c r="K51" s="16"/>
      <c r="L51" s="17"/>
      <c r="M51" s="16"/>
      <c r="N51" s="16"/>
      <c r="O51" s="16"/>
      <c r="P51" s="25"/>
      <c r="Q51" s="33"/>
      <c r="R51" s="23"/>
      <c r="S51" s="28"/>
      <c r="T51" s="34"/>
      <c r="U51" s="34"/>
    </row>
    <row r="52" spans="1:21" s="1" customFormat="1" ht="18.75" customHeight="1">
      <c r="A52" s="11">
        <v>50</v>
      </c>
      <c r="B52" s="42" t="s">
        <v>74</v>
      </c>
      <c r="C52" s="34" t="s">
        <v>28</v>
      </c>
      <c r="D52" s="44"/>
      <c r="E52" s="28"/>
      <c r="F52" s="23"/>
      <c r="G52" s="24">
        <v>88</v>
      </c>
      <c r="H52" s="39"/>
      <c r="I52" s="39"/>
      <c r="J52" s="30"/>
      <c r="K52" s="16"/>
      <c r="L52" s="17"/>
      <c r="M52" s="16"/>
      <c r="N52" s="16"/>
      <c r="O52" s="16"/>
      <c r="P52" s="25"/>
      <c r="Q52" s="33"/>
      <c r="R52" s="23"/>
      <c r="S52" s="28"/>
      <c r="T52" s="34"/>
      <c r="U52" s="34"/>
    </row>
    <row r="53" spans="1:21" s="1" customFormat="1" ht="18.75" customHeight="1">
      <c r="A53" s="11">
        <v>51</v>
      </c>
      <c r="B53" s="42" t="s">
        <v>75</v>
      </c>
      <c r="C53" s="34" t="s">
        <v>28</v>
      </c>
      <c r="D53" s="44"/>
      <c r="E53" s="28"/>
      <c r="F53" s="39">
        <v>120</v>
      </c>
      <c r="H53" s="39"/>
      <c r="I53" s="39"/>
      <c r="J53" s="30"/>
      <c r="K53" s="16"/>
      <c r="L53" s="17"/>
      <c r="M53" s="16"/>
      <c r="N53" s="16"/>
      <c r="O53" s="16"/>
      <c r="P53" s="25"/>
      <c r="Q53" s="33"/>
      <c r="R53" s="23"/>
      <c r="S53" s="28"/>
      <c r="T53" s="34"/>
      <c r="U53" s="34"/>
    </row>
    <row r="54" spans="1:21" s="1" customFormat="1" ht="18.75" customHeight="1">
      <c r="A54" s="11">
        <v>52</v>
      </c>
      <c r="B54" s="42" t="s">
        <v>76</v>
      </c>
      <c r="C54" s="34" t="s">
        <v>28</v>
      </c>
      <c r="D54" s="44"/>
      <c r="E54" s="28"/>
      <c r="F54" s="23"/>
      <c r="G54" s="24">
        <v>88</v>
      </c>
      <c r="H54" s="39"/>
      <c r="I54" s="39"/>
      <c r="J54" s="30">
        <v>1</v>
      </c>
      <c r="K54" s="16">
        <f t="shared" si="8"/>
        <v>8</v>
      </c>
      <c r="L54" s="17"/>
      <c r="M54" s="16"/>
      <c r="N54" s="16"/>
      <c r="O54" s="16">
        <f t="shared" si="11"/>
        <v>8</v>
      </c>
      <c r="P54" s="25"/>
      <c r="Q54" s="33"/>
      <c r="R54" s="23"/>
      <c r="S54" s="28"/>
      <c r="T54" s="34"/>
      <c r="U54" s="34"/>
    </row>
    <row r="55" spans="1:21" s="1" customFormat="1" ht="18.75" customHeight="1">
      <c r="A55" s="11">
        <v>53</v>
      </c>
      <c r="B55" s="42" t="s">
        <v>77</v>
      </c>
      <c r="C55" s="34" t="s">
        <v>28</v>
      </c>
      <c r="D55" s="44"/>
      <c r="E55" s="28"/>
      <c r="F55" s="23"/>
      <c r="G55" s="24"/>
      <c r="H55" s="39"/>
      <c r="I55" s="39"/>
      <c r="J55" s="30">
        <v>1</v>
      </c>
      <c r="K55" s="16">
        <f t="shared" si="8"/>
        <v>8</v>
      </c>
      <c r="L55" s="17"/>
      <c r="M55" s="16"/>
      <c r="N55" s="16"/>
      <c r="O55" s="16">
        <f t="shared" si="11"/>
        <v>8</v>
      </c>
      <c r="P55" s="25"/>
      <c r="Q55" s="33">
        <v>18</v>
      </c>
      <c r="R55" s="23">
        <v>32</v>
      </c>
      <c r="S55" s="28"/>
      <c r="T55" s="34"/>
      <c r="U55" s="34"/>
    </row>
    <row r="56" spans="1:21" s="1" customFormat="1" ht="18.75" customHeight="1">
      <c r="A56" s="11">
        <v>54</v>
      </c>
      <c r="B56" s="42" t="s">
        <v>78</v>
      </c>
      <c r="C56" s="34" t="s">
        <v>28</v>
      </c>
      <c r="D56" s="44"/>
      <c r="E56" s="28"/>
      <c r="F56" s="23"/>
      <c r="G56" s="24">
        <v>120</v>
      </c>
      <c r="H56" s="39"/>
      <c r="I56" s="39"/>
      <c r="J56" s="30"/>
      <c r="K56" s="16"/>
      <c r="L56" s="17"/>
      <c r="M56" s="16"/>
      <c r="N56" s="16"/>
      <c r="O56" s="16"/>
      <c r="P56" s="25"/>
      <c r="Q56" s="33"/>
      <c r="R56" s="23"/>
      <c r="S56" s="28"/>
      <c r="T56" s="34"/>
      <c r="U56" s="34"/>
    </row>
    <row r="57" spans="1:21" s="1" customFormat="1" ht="18.75" customHeight="1">
      <c r="A57" s="11">
        <v>55</v>
      </c>
      <c r="B57" s="42" t="s">
        <v>79</v>
      </c>
      <c r="C57" s="34" t="s">
        <v>28</v>
      </c>
      <c r="D57" s="44"/>
      <c r="E57" s="28"/>
      <c r="F57" s="23"/>
      <c r="G57" s="24">
        <v>88</v>
      </c>
      <c r="H57" s="39"/>
      <c r="I57" s="39"/>
      <c r="J57" s="30"/>
      <c r="K57" s="16"/>
      <c r="L57" s="17"/>
      <c r="M57" s="16"/>
      <c r="N57" s="16"/>
      <c r="O57" s="16"/>
      <c r="P57" s="25"/>
      <c r="Q57" s="33"/>
      <c r="R57" s="23"/>
      <c r="S57" s="28"/>
      <c r="T57" s="34"/>
      <c r="U57" s="34"/>
    </row>
    <row r="58" spans="1:21" s="1" customFormat="1" ht="18.75" customHeight="1">
      <c r="A58" s="11">
        <v>56</v>
      </c>
      <c r="B58" s="42" t="s">
        <v>82</v>
      </c>
      <c r="C58" s="34" t="s">
        <v>28</v>
      </c>
      <c r="D58" s="44"/>
      <c r="E58" s="28"/>
      <c r="F58" s="23"/>
      <c r="G58" s="24">
        <v>88</v>
      </c>
      <c r="H58" s="39"/>
      <c r="I58" s="39"/>
      <c r="J58" s="30">
        <v>1</v>
      </c>
      <c r="K58" s="16">
        <f t="shared" si="8"/>
        <v>8</v>
      </c>
      <c r="L58" s="17"/>
      <c r="M58" s="16"/>
      <c r="N58" s="16"/>
      <c r="O58" s="16">
        <f t="shared" si="11"/>
        <v>8</v>
      </c>
      <c r="P58" s="25"/>
      <c r="Q58" s="33"/>
      <c r="R58" s="23"/>
      <c r="S58" s="28"/>
      <c r="T58" s="34"/>
      <c r="U58" s="34"/>
    </row>
    <row r="59" spans="1:21" s="1" customFormat="1" ht="18.75" customHeight="1">
      <c r="A59" s="11">
        <v>57</v>
      </c>
      <c r="B59" s="42" t="s">
        <v>425</v>
      </c>
      <c r="C59" s="34" t="s">
        <v>28</v>
      </c>
      <c r="D59" s="44"/>
      <c r="E59" s="28"/>
      <c r="F59" s="23"/>
      <c r="G59" s="24">
        <v>40</v>
      </c>
      <c r="H59" s="39"/>
      <c r="I59" s="39"/>
      <c r="J59" s="30">
        <v>4</v>
      </c>
      <c r="K59" s="16">
        <f t="shared" si="8"/>
        <v>32</v>
      </c>
      <c r="L59" s="17">
        <v>6</v>
      </c>
      <c r="M59" s="16">
        <f t="shared" si="9"/>
        <v>72</v>
      </c>
      <c r="N59" s="16">
        <f t="shared" si="10"/>
        <v>24</v>
      </c>
      <c r="O59" s="16">
        <f t="shared" si="11"/>
        <v>128</v>
      </c>
      <c r="P59" s="25"/>
      <c r="Q59" s="33"/>
      <c r="R59" s="23"/>
      <c r="S59" s="28"/>
      <c r="T59" s="34"/>
      <c r="U59" s="34"/>
    </row>
    <row r="60" spans="1:21" ht="18.75" customHeight="1">
      <c r="A60" s="11">
        <v>58</v>
      </c>
      <c r="B60" s="41" t="s">
        <v>83</v>
      </c>
      <c r="C60" s="34" t="s">
        <v>84</v>
      </c>
      <c r="D60" s="44"/>
      <c r="E60" s="28"/>
      <c r="F60" s="23"/>
      <c r="G60" s="24">
        <v>40</v>
      </c>
      <c r="H60" s="39"/>
      <c r="I60" s="39"/>
      <c r="J60" s="30"/>
      <c r="K60" s="16"/>
      <c r="L60" s="17"/>
      <c r="M60" s="16"/>
      <c r="N60" s="16"/>
      <c r="O60" s="16"/>
      <c r="P60" s="25"/>
      <c r="Q60" s="33">
        <v>33</v>
      </c>
      <c r="R60" s="23"/>
      <c r="S60" s="28"/>
      <c r="T60" s="34"/>
      <c r="U60" s="34"/>
    </row>
    <row r="61" spans="1:21" ht="18.75" customHeight="1">
      <c r="A61" s="11">
        <v>59</v>
      </c>
      <c r="B61" s="41" t="s">
        <v>85</v>
      </c>
      <c r="C61" s="34" t="s">
        <v>84</v>
      </c>
      <c r="D61" s="36"/>
      <c r="E61" s="28"/>
      <c r="F61" s="23"/>
      <c r="G61" s="24">
        <v>40</v>
      </c>
      <c r="H61" s="39"/>
      <c r="I61" s="39"/>
      <c r="J61" s="30"/>
      <c r="K61" s="16"/>
      <c r="L61" s="17"/>
      <c r="M61" s="16"/>
      <c r="N61" s="16"/>
      <c r="O61" s="16"/>
      <c r="P61" s="25"/>
      <c r="Q61" s="33">
        <v>26</v>
      </c>
      <c r="R61" s="23"/>
      <c r="S61" s="28"/>
      <c r="T61" s="34"/>
      <c r="U61" s="34"/>
    </row>
    <row r="62" spans="1:21" ht="18.75" customHeight="1">
      <c r="A62" s="11">
        <v>60</v>
      </c>
      <c r="B62" s="41" t="s">
        <v>86</v>
      </c>
      <c r="C62" s="34" t="s">
        <v>84</v>
      </c>
      <c r="D62" s="36"/>
      <c r="E62" s="28"/>
      <c r="F62" s="23"/>
      <c r="G62" s="24">
        <v>88</v>
      </c>
      <c r="H62" s="39"/>
      <c r="I62" s="39"/>
      <c r="J62" s="30"/>
      <c r="K62" s="16"/>
      <c r="L62" s="17"/>
      <c r="M62" s="16"/>
      <c r="N62" s="16"/>
      <c r="O62" s="16"/>
      <c r="P62" s="25"/>
      <c r="Q62" s="33"/>
      <c r="R62" s="23"/>
      <c r="S62" s="28"/>
      <c r="T62" s="34"/>
      <c r="U62" s="34"/>
    </row>
    <row r="63" spans="1:21" ht="18.75" customHeight="1">
      <c r="A63" s="11">
        <v>61</v>
      </c>
      <c r="B63" s="41" t="s">
        <v>87</v>
      </c>
      <c r="C63" s="34" t="s">
        <v>84</v>
      </c>
      <c r="D63" s="36"/>
      <c r="E63" s="28"/>
      <c r="F63" s="23"/>
      <c r="G63" s="24">
        <v>88</v>
      </c>
      <c r="H63" s="39"/>
      <c r="I63" s="39"/>
      <c r="J63" s="30"/>
      <c r="K63" s="16"/>
      <c r="L63" s="17"/>
      <c r="M63" s="16"/>
      <c r="N63" s="16"/>
      <c r="O63" s="16"/>
      <c r="P63" s="25"/>
      <c r="Q63" s="33"/>
      <c r="R63" s="23"/>
      <c r="S63" s="28"/>
      <c r="T63" s="34"/>
      <c r="U63" s="34"/>
    </row>
    <row r="64" spans="1:21" ht="18.75" customHeight="1">
      <c r="A64" s="11">
        <v>62</v>
      </c>
      <c r="B64" s="41" t="s">
        <v>88</v>
      </c>
      <c r="C64" s="34" t="s">
        <v>84</v>
      </c>
      <c r="D64" s="36"/>
      <c r="E64" s="28"/>
      <c r="F64" s="23"/>
      <c r="G64" s="24">
        <v>40</v>
      </c>
      <c r="H64" s="39"/>
      <c r="I64" s="39"/>
      <c r="J64" s="30">
        <v>1</v>
      </c>
      <c r="K64" s="16">
        <f t="shared" si="8"/>
        <v>8</v>
      </c>
      <c r="L64" s="17"/>
      <c r="M64" s="16"/>
      <c r="N64" s="16"/>
      <c r="O64" s="16">
        <f t="shared" si="11"/>
        <v>8</v>
      </c>
      <c r="P64" s="25">
        <v>9</v>
      </c>
      <c r="Q64" s="33"/>
      <c r="R64" s="23"/>
      <c r="S64" s="28">
        <v>43</v>
      </c>
      <c r="T64" s="34"/>
      <c r="U64" s="34"/>
    </row>
    <row r="65" spans="1:21" ht="18.75" customHeight="1">
      <c r="A65" s="11">
        <v>63</v>
      </c>
      <c r="B65" s="41" t="s">
        <v>90</v>
      </c>
      <c r="C65" s="34" t="s">
        <v>84</v>
      </c>
      <c r="D65" s="36"/>
      <c r="E65" s="28"/>
      <c r="F65" s="23"/>
      <c r="G65" s="24">
        <v>40</v>
      </c>
      <c r="H65" s="39"/>
      <c r="I65" s="39"/>
      <c r="J65" s="30"/>
      <c r="K65" s="16"/>
      <c r="L65" s="17"/>
      <c r="M65" s="16"/>
      <c r="N65" s="16"/>
      <c r="O65" s="16"/>
      <c r="P65" s="25"/>
      <c r="Q65" s="33">
        <v>27</v>
      </c>
      <c r="R65" s="23"/>
      <c r="S65" s="28">
        <v>10</v>
      </c>
      <c r="T65" s="34"/>
      <c r="U65" s="34"/>
    </row>
    <row r="66" spans="1:21" ht="18.75" customHeight="1">
      <c r="A66" s="11">
        <v>64</v>
      </c>
      <c r="B66" s="41" t="s">
        <v>91</v>
      </c>
      <c r="C66" s="34" t="s">
        <v>84</v>
      </c>
      <c r="D66" s="36"/>
      <c r="E66" s="28"/>
      <c r="F66" s="23"/>
      <c r="G66" s="24">
        <v>120</v>
      </c>
      <c r="H66" s="39"/>
      <c r="I66" s="39"/>
      <c r="J66" s="30"/>
      <c r="K66" s="16"/>
      <c r="L66" s="17"/>
      <c r="M66" s="16"/>
      <c r="N66" s="16"/>
      <c r="O66" s="16"/>
      <c r="P66" s="25"/>
      <c r="Q66" s="33"/>
      <c r="R66" s="23"/>
      <c r="S66" s="28"/>
      <c r="T66" s="34"/>
      <c r="U66" s="34"/>
    </row>
    <row r="67" spans="1:21" ht="18.75" customHeight="1">
      <c r="A67" s="11">
        <v>65</v>
      </c>
      <c r="B67" s="41" t="s">
        <v>92</v>
      </c>
      <c r="C67" s="34" t="s">
        <v>84</v>
      </c>
      <c r="D67" s="36"/>
      <c r="E67" s="28"/>
      <c r="F67" s="23"/>
      <c r="G67" s="24">
        <v>88</v>
      </c>
      <c r="H67" s="39"/>
      <c r="I67" s="39"/>
      <c r="J67" s="30"/>
      <c r="K67" s="16"/>
      <c r="L67" s="17"/>
      <c r="M67" s="16"/>
      <c r="N67" s="16"/>
      <c r="O67" s="16"/>
      <c r="P67" s="25"/>
      <c r="Q67" s="33"/>
      <c r="R67" s="23"/>
      <c r="S67" s="28"/>
      <c r="T67" s="34"/>
      <c r="U67" s="34"/>
    </row>
    <row r="68" spans="1:21" ht="18.75" customHeight="1">
      <c r="A68" s="11">
        <v>66</v>
      </c>
      <c r="B68" s="41" t="s">
        <v>93</v>
      </c>
      <c r="C68" s="34" t="s">
        <v>84</v>
      </c>
      <c r="D68" s="36"/>
      <c r="E68" s="28"/>
      <c r="F68" s="23"/>
      <c r="G68" s="24">
        <v>120</v>
      </c>
      <c r="H68" s="39"/>
      <c r="I68" s="39"/>
      <c r="J68" s="30"/>
      <c r="K68" s="16"/>
      <c r="L68" s="17"/>
      <c r="M68" s="16"/>
      <c r="N68" s="16"/>
      <c r="O68" s="16"/>
      <c r="P68" s="25"/>
      <c r="Q68" s="33"/>
      <c r="R68" s="23"/>
      <c r="S68" s="28"/>
      <c r="T68" s="34"/>
      <c r="U68" s="34"/>
    </row>
    <row r="69" spans="1:21" ht="18.75" customHeight="1">
      <c r="A69" s="11">
        <v>67</v>
      </c>
      <c r="B69" s="41" t="s">
        <v>94</v>
      </c>
      <c r="C69" s="34" t="s">
        <v>84</v>
      </c>
      <c r="D69" s="36"/>
      <c r="E69" s="28"/>
      <c r="F69" s="23"/>
      <c r="G69" s="24">
        <v>120</v>
      </c>
      <c r="H69" s="39"/>
      <c r="I69" s="39"/>
      <c r="J69" s="30"/>
      <c r="K69" s="16"/>
      <c r="L69" s="17"/>
      <c r="M69" s="16"/>
      <c r="N69" s="16"/>
      <c r="O69" s="16"/>
      <c r="P69" s="25"/>
      <c r="Q69" s="33"/>
      <c r="R69" s="23"/>
      <c r="S69" s="28"/>
      <c r="T69" s="34"/>
      <c r="U69" s="34"/>
    </row>
    <row r="70" spans="1:21" ht="18.75" customHeight="1">
      <c r="A70" s="11">
        <v>68</v>
      </c>
      <c r="B70" s="41" t="s">
        <v>95</v>
      </c>
      <c r="C70" s="34" t="s">
        <v>96</v>
      </c>
      <c r="D70" s="36"/>
      <c r="E70" s="28"/>
      <c r="F70" s="23"/>
      <c r="G70" s="24"/>
      <c r="H70" s="39"/>
      <c r="I70" s="39"/>
      <c r="J70" s="30"/>
      <c r="K70" s="16"/>
      <c r="L70" s="17"/>
      <c r="M70" s="16"/>
      <c r="N70" s="16"/>
      <c r="O70" s="16"/>
      <c r="P70" s="25">
        <v>26</v>
      </c>
      <c r="Q70" s="33"/>
      <c r="R70" s="23"/>
      <c r="S70" s="28">
        <v>52</v>
      </c>
      <c r="T70" s="34"/>
      <c r="U70" s="34"/>
    </row>
    <row r="71" spans="1:21" ht="18.75" customHeight="1">
      <c r="A71" s="11">
        <v>69</v>
      </c>
      <c r="B71" s="41" t="s">
        <v>97</v>
      </c>
      <c r="C71" s="34" t="s">
        <v>96</v>
      </c>
      <c r="D71" s="36"/>
      <c r="E71" s="28"/>
      <c r="F71" s="23"/>
      <c r="G71" s="24">
        <v>41</v>
      </c>
      <c r="H71" s="39"/>
      <c r="I71" s="39"/>
      <c r="J71" s="30"/>
      <c r="K71" s="16"/>
      <c r="L71" s="17"/>
      <c r="M71" s="16"/>
      <c r="N71" s="16"/>
      <c r="O71" s="16"/>
      <c r="P71" s="25"/>
      <c r="Q71" s="33">
        <v>36</v>
      </c>
      <c r="R71" s="23"/>
      <c r="S71" s="28"/>
      <c r="T71" s="34"/>
      <c r="U71" s="34"/>
    </row>
    <row r="72" spans="1:21" ht="18.75" customHeight="1">
      <c r="A72" s="11">
        <v>70</v>
      </c>
      <c r="B72" s="41" t="s">
        <v>98</v>
      </c>
      <c r="C72" s="34" t="s">
        <v>96</v>
      </c>
      <c r="D72" s="36"/>
      <c r="E72" s="28"/>
      <c r="F72" s="23"/>
      <c r="G72" s="24">
        <v>120</v>
      </c>
      <c r="H72" s="39"/>
      <c r="I72" s="39"/>
      <c r="J72" s="30"/>
      <c r="K72" s="16"/>
      <c r="L72" s="17"/>
      <c r="M72" s="16"/>
      <c r="N72" s="16"/>
      <c r="O72" s="16"/>
      <c r="P72" s="25"/>
      <c r="Q72" s="33"/>
      <c r="R72" s="23"/>
      <c r="S72" s="28"/>
      <c r="T72" s="34"/>
      <c r="U72" s="34"/>
    </row>
    <row r="73" spans="1:21" ht="18.75" customHeight="1">
      <c r="A73" s="11">
        <v>71</v>
      </c>
      <c r="B73" s="41" t="s">
        <v>99</v>
      </c>
      <c r="C73" s="34" t="s">
        <v>96</v>
      </c>
      <c r="D73" s="36"/>
      <c r="E73" s="28"/>
      <c r="F73" s="23"/>
      <c r="G73" s="24">
        <v>88</v>
      </c>
      <c r="H73" s="39"/>
      <c r="I73" s="39"/>
      <c r="J73" s="30"/>
      <c r="K73" s="16"/>
      <c r="L73" s="17"/>
      <c r="M73" s="16"/>
      <c r="N73" s="16"/>
      <c r="O73" s="16"/>
      <c r="P73" s="25"/>
      <c r="Q73" s="33"/>
      <c r="R73" s="23"/>
      <c r="S73" s="28"/>
      <c r="T73" s="34"/>
      <c r="U73" s="34"/>
    </row>
    <row r="74" spans="1:21" ht="18.75" customHeight="1">
      <c r="A74" s="11">
        <v>72</v>
      </c>
      <c r="B74" s="41" t="s">
        <v>100</v>
      </c>
      <c r="C74" s="34" t="s">
        <v>96</v>
      </c>
      <c r="D74" s="36"/>
      <c r="E74" s="28"/>
      <c r="F74" s="23"/>
      <c r="G74" s="24">
        <v>120</v>
      </c>
      <c r="H74" s="39"/>
      <c r="I74" s="39"/>
      <c r="J74" s="30"/>
      <c r="K74" s="16"/>
      <c r="L74" s="17"/>
      <c r="M74" s="16"/>
      <c r="N74" s="16"/>
      <c r="O74" s="16"/>
      <c r="P74" s="25"/>
      <c r="Q74" s="33"/>
      <c r="R74" s="23"/>
      <c r="S74" s="28"/>
      <c r="T74" s="34"/>
      <c r="U74" s="34"/>
    </row>
    <row r="75" spans="1:21" ht="18.75" customHeight="1">
      <c r="A75" s="11">
        <v>73</v>
      </c>
      <c r="B75" s="41" t="s">
        <v>101</v>
      </c>
      <c r="C75" s="34" t="s">
        <v>96</v>
      </c>
      <c r="D75" s="36"/>
      <c r="E75" s="28"/>
      <c r="F75" s="23"/>
      <c r="G75" s="24">
        <v>120</v>
      </c>
      <c r="H75" s="39"/>
      <c r="I75" s="39"/>
      <c r="J75" s="30"/>
      <c r="K75" s="16"/>
      <c r="L75" s="17"/>
      <c r="M75" s="16"/>
      <c r="N75" s="16"/>
      <c r="O75" s="16"/>
      <c r="P75" s="25"/>
      <c r="Q75" s="33"/>
      <c r="R75" s="23"/>
      <c r="S75" s="28"/>
      <c r="T75" s="34"/>
      <c r="U75" s="34"/>
    </row>
    <row r="76" spans="1:21" ht="18.75" customHeight="1">
      <c r="A76" s="11">
        <v>74</v>
      </c>
      <c r="B76" s="41" t="s">
        <v>102</v>
      </c>
      <c r="C76" s="34" t="s">
        <v>96</v>
      </c>
      <c r="D76" s="46"/>
      <c r="E76" s="28"/>
      <c r="F76" s="23"/>
      <c r="G76" s="24">
        <v>120</v>
      </c>
      <c r="H76" s="39"/>
      <c r="I76" s="39"/>
      <c r="J76" s="30"/>
      <c r="K76" s="16"/>
      <c r="L76" s="17"/>
      <c r="M76" s="16"/>
      <c r="N76" s="16"/>
      <c r="O76" s="16"/>
      <c r="P76" s="25"/>
      <c r="Q76" s="33"/>
      <c r="R76" s="23"/>
      <c r="S76" s="28"/>
      <c r="T76" s="34"/>
      <c r="U76" s="34"/>
    </row>
    <row r="77" spans="1:21" ht="18.75" customHeight="1">
      <c r="A77" s="11">
        <v>75</v>
      </c>
      <c r="B77" s="41" t="s">
        <v>103</v>
      </c>
      <c r="C77" s="34" t="s">
        <v>96</v>
      </c>
      <c r="D77" s="36"/>
      <c r="E77" s="28"/>
      <c r="F77" s="23"/>
      <c r="G77" s="24">
        <v>64</v>
      </c>
      <c r="H77" s="39"/>
      <c r="I77" s="39"/>
      <c r="J77" s="30">
        <v>1</v>
      </c>
      <c r="K77" s="16">
        <f t="shared" si="8"/>
        <v>8</v>
      </c>
      <c r="L77" s="17"/>
      <c r="M77" s="16"/>
      <c r="N77" s="16"/>
      <c r="O77" s="16">
        <f t="shared" si="11"/>
        <v>8</v>
      </c>
      <c r="P77" s="25"/>
      <c r="Q77" s="33"/>
      <c r="R77" s="23"/>
      <c r="S77" s="28"/>
      <c r="T77" s="34"/>
      <c r="U77" s="34"/>
    </row>
    <row r="78" spans="1:21" ht="18.75" customHeight="1">
      <c r="A78" s="11">
        <v>76</v>
      </c>
      <c r="B78" s="41" t="s">
        <v>104</v>
      </c>
      <c r="C78" s="34" t="s">
        <v>96</v>
      </c>
      <c r="D78" s="36"/>
      <c r="E78" s="28"/>
      <c r="F78" s="23"/>
      <c r="G78" s="24">
        <v>120</v>
      </c>
      <c r="H78" s="39"/>
      <c r="I78" s="39"/>
      <c r="J78" s="30"/>
      <c r="K78" s="16"/>
      <c r="L78" s="17"/>
      <c r="M78" s="16"/>
      <c r="N78" s="16"/>
      <c r="O78" s="16"/>
      <c r="P78" s="25"/>
      <c r="Q78" s="33"/>
      <c r="R78" s="23"/>
      <c r="S78" s="28"/>
      <c r="T78" s="34"/>
      <c r="U78" s="34"/>
    </row>
    <row r="79" spans="1:21" ht="18.75" customHeight="1">
      <c r="A79" s="11">
        <v>77</v>
      </c>
      <c r="B79" s="41" t="s">
        <v>105</v>
      </c>
      <c r="C79" s="34" t="s">
        <v>96</v>
      </c>
      <c r="D79" s="36"/>
      <c r="E79" s="28"/>
      <c r="F79" s="23"/>
      <c r="G79" s="24">
        <v>88</v>
      </c>
      <c r="H79" s="39"/>
      <c r="I79" s="39"/>
      <c r="J79" s="30"/>
      <c r="K79" s="16"/>
      <c r="L79" s="17"/>
      <c r="M79" s="16"/>
      <c r="N79" s="16"/>
      <c r="O79" s="16"/>
      <c r="P79" s="25"/>
      <c r="Q79" s="33"/>
      <c r="R79" s="23"/>
      <c r="S79" s="28"/>
      <c r="T79" s="34"/>
      <c r="U79" s="34"/>
    </row>
    <row r="80" spans="1:21" ht="18.75" customHeight="1">
      <c r="A80" s="11">
        <v>78</v>
      </c>
      <c r="B80" s="41" t="s">
        <v>106</v>
      </c>
      <c r="C80" s="34" t="s">
        <v>96</v>
      </c>
      <c r="D80" s="36"/>
      <c r="E80" s="28"/>
      <c r="F80" s="23"/>
      <c r="G80" s="24">
        <v>40</v>
      </c>
      <c r="H80" s="39"/>
      <c r="I80" s="39"/>
      <c r="J80" s="30"/>
      <c r="K80" s="16"/>
      <c r="L80" s="17"/>
      <c r="M80" s="16"/>
      <c r="N80" s="16"/>
      <c r="O80" s="16"/>
      <c r="P80" s="25"/>
      <c r="Q80" s="33"/>
      <c r="R80" s="23"/>
      <c r="S80" s="28"/>
      <c r="T80" s="34"/>
      <c r="U80" s="34"/>
    </row>
    <row r="81" spans="1:21" ht="18.75" customHeight="1">
      <c r="A81" s="11">
        <v>79</v>
      </c>
      <c r="B81" s="41" t="s">
        <v>107</v>
      </c>
      <c r="C81" s="34" t="s">
        <v>96</v>
      </c>
      <c r="D81" s="36"/>
      <c r="E81" s="28"/>
      <c r="F81" s="23"/>
      <c r="G81" s="24">
        <v>120</v>
      </c>
      <c r="H81" s="39"/>
      <c r="I81" s="39"/>
      <c r="J81" s="30"/>
      <c r="K81" s="16"/>
      <c r="L81" s="17"/>
      <c r="M81" s="16"/>
      <c r="N81" s="16"/>
      <c r="O81" s="16"/>
      <c r="P81" s="25"/>
      <c r="Q81" s="33"/>
      <c r="R81" s="23"/>
      <c r="S81" s="28"/>
      <c r="T81" s="34"/>
      <c r="U81" s="34"/>
    </row>
    <row r="82" spans="1:21" ht="18.75" customHeight="1">
      <c r="A82" s="11">
        <v>80</v>
      </c>
      <c r="B82" s="41" t="s">
        <v>108</v>
      </c>
      <c r="C82" s="34" t="s">
        <v>96</v>
      </c>
      <c r="D82" s="36"/>
      <c r="E82" s="28"/>
      <c r="F82" s="23"/>
      <c r="G82" s="24">
        <v>120</v>
      </c>
      <c r="H82" s="39"/>
      <c r="I82" s="39"/>
      <c r="J82" s="30"/>
      <c r="K82" s="16"/>
      <c r="L82" s="17"/>
      <c r="M82" s="16"/>
      <c r="N82" s="16"/>
      <c r="O82" s="16"/>
      <c r="P82" s="25"/>
      <c r="Q82" s="33"/>
      <c r="R82" s="23"/>
      <c r="S82" s="28"/>
      <c r="T82" s="34"/>
      <c r="U82" s="34"/>
    </row>
    <row r="83" spans="1:21" ht="18.75" customHeight="1">
      <c r="A83" s="11">
        <v>81</v>
      </c>
      <c r="B83" s="41" t="s">
        <v>109</v>
      </c>
      <c r="C83" s="34" t="s">
        <v>96</v>
      </c>
      <c r="D83" s="36"/>
      <c r="E83" s="28"/>
      <c r="F83" s="39">
        <v>120</v>
      </c>
      <c r="H83" s="39"/>
      <c r="I83" s="39"/>
      <c r="J83" s="30"/>
      <c r="K83" s="16"/>
      <c r="L83" s="17"/>
      <c r="M83" s="16"/>
      <c r="N83" s="16"/>
      <c r="O83" s="16"/>
      <c r="P83" s="25"/>
      <c r="Q83" s="33"/>
      <c r="R83" s="23"/>
      <c r="S83" s="28"/>
      <c r="T83" s="34"/>
      <c r="U83" s="34"/>
    </row>
    <row r="84" spans="1:21" ht="18.75" customHeight="1">
      <c r="A84" s="11">
        <v>82</v>
      </c>
      <c r="B84" s="41" t="s">
        <v>110</v>
      </c>
      <c r="C84" s="34" t="s">
        <v>96</v>
      </c>
      <c r="D84" s="36"/>
      <c r="E84" s="28"/>
      <c r="F84" s="23"/>
      <c r="G84" s="24">
        <v>120</v>
      </c>
      <c r="H84" s="39"/>
      <c r="I84" s="39"/>
      <c r="J84" s="30"/>
      <c r="K84" s="16"/>
      <c r="L84" s="17"/>
      <c r="M84" s="16"/>
      <c r="N84" s="16"/>
      <c r="O84" s="16"/>
      <c r="P84" s="25"/>
      <c r="Q84" s="33"/>
      <c r="R84" s="23"/>
      <c r="S84" s="28"/>
      <c r="T84" s="34"/>
      <c r="U84" s="34"/>
    </row>
    <row r="85" spans="1:21" ht="18.75" customHeight="1">
      <c r="A85" s="11">
        <v>83</v>
      </c>
      <c r="B85" s="41" t="s">
        <v>111</v>
      </c>
      <c r="C85" s="34" t="s">
        <v>96</v>
      </c>
      <c r="D85" s="36"/>
      <c r="E85" s="28"/>
      <c r="F85" s="23"/>
      <c r="G85" s="24"/>
      <c r="H85" s="39"/>
      <c r="I85" s="39"/>
      <c r="J85" s="30"/>
      <c r="K85" s="16"/>
      <c r="L85" s="17"/>
      <c r="M85" s="16"/>
      <c r="N85" s="16"/>
      <c r="O85" s="16"/>
      <c r="P85" s="25">
        <v>31</v>
      </c>
      <c r="Q85" s="33"/>
      <c r="R85" s="23"/>
      <c r="S85" s="28">
        <v>49</v>
      </c>
      <c r="T85" s="34"/>
      <c r="U85" s="34"/>
    </row>
    <row r="86" spans="1:21" ht="18.75" customHeight="1">
      <c r="A86" s="11">
        <v>84</v>
      </c>
      <c r="B86" s="41" t="s">
        <v>112</v>
      </c>
      <c r="C86" s="34" t="s">
        <v>96</v>
      </c>
      <c r="D86" s="36"/>
      <c r="E86" s="28"/>
      <c r="F86" s="39">
        <v>120</v>
      </c>
      <c r="H86" s="39"/>
      <c r="I86" s="39"/>
      <c r="J86" s="30"/>
      <c r="K86" s="16"/>
      <c r="L86" s="17"/>
      <c r="M86" s="16"/>
      <c r="N86" s="16"/>
      <c r="O86" s="16"/>
      <c r="P86" s="25"/>
      <c r="Q86" s="33"/>
      <c r="R86" s="23"/>
      <c r="S86" s="28"/>
      <c r="T86" s="34"/>
      <c r="U86" s="34"/>
    </row>
    <row r="87" spans="1:21" ht="18.75" customHeight="1">
      <c r="A87" s="11">
        <v>85</v>
      </c>
      <c r="B87" s="41" t="s">
        <v>113</v>
      </c>
      <c r="C87" s="34" t="s">
        <v>96</v>
      </c>
      <c r="D87" s="36"/>
      <c r="E87" s="28"/>
      <c r="F87" s="23"/>
      <c r="G87" s="24">
        <v>120</v>
      </c>
      <c r="H87" s="39"/>
      <c r="I87" s="39"/>
      <c r="J87" s="30"/>
      <c r="K87" s="16"/>
      <c r="L87" s="17"/>
      <c r="M87" s="16"/>
      <c r="N87" s="16"/>
      <c r="O87" s="16"/>
      <c r="P87" s="25"/>
      <c r="Q87" s="33"/>
      <c r="R87" s="23"/>
      <c r="S87" s="28"/>
      <c r="T87" s="34"/>
      <c r="U87" s="34"/>
    </row>
    <row r="88" spans="1:21" ht="18.75" customHeight="1">
      <c r="A88" s="11">
        <v>86</v>
      </c>
      <c r="B88" s="41" t="s">
        <v>114</v>
      </c>
      <c r="C88" s="34" t="s">
        <v>96</v>
      </c>
      <c r="D88" s="36"/>
      <c r="E88" s="28"/>
      <c r="F88" s="23"/>
      <c r="G88" s="24">
        <v>40</v>
      </c>
      <c r="H88" s="39"/>
      <c r="I88" s="39"/>
      <c r="J88" s="30"/>
      <c r="K88" s="16"/>
      <c r="L88" s="17"/>
      <c r="M88" s="16"/>
      <c r="N88" s="16"/>
      <c r="O88" s="16"/>
      <c r="P88" s="25"/>
      <c r="Q88" s="33">
        <v>34</v>
      </c>
      <c r="R88" s="23"/>
      <c r="S88" s="28">
        <v>10</v>
      </c>
      <c r="T88" s="34"/>
      <c r="U88" s="34"/>
    </row>
    <row r="89" spans="1:21" ht="18.75" customHeight="1">
      <c r="A89" s="11">
        <v>87</v>
      </c>
      <c r="B89" s="41" t="s">
        <v>115</v>
      </c>
      <c r="C89" s="34" t="s">
        <v>96</v>
      </c>
      <c r="D89" s="36"/>
      <c r="E89" s="28"/>
      <c r="F89" s="23"/>
      <c r="G89" s="24">
        <v>40</v>
      </c>
      <c r="H89" s="39"/>
      <c r="I89" s="39"/>
      <c r="J89" s="30"/>
      <c r="K89" s="16"/>
      <c r="L89" s="17"/>
      <c r="M89" s="16"/>
      <c r="N89" s="16"/>
      <c r="O89" s="16"/>
      <c r="P89" s="25"/>
      <c r="Q89" s="33">
        <v>28</v>
      </c>
      <c r="R89" s="23"/>
      <c r="S89" s="28">
        <v>20</v>
      </c>
      <c r="T89" s="34"/>
      <c r="U89" s="34"/>
    </row>
    <row r="90" spans="1:21" ht="18.75" customHeight="1">
      <c r="A90" s="11">
        <v>88</v>
      </c>
      <c r="B90" s="41" t="s">
        <v>116</v>
      </c>
      <c r="C90" s="34" t="s">
        <v>96</v>
      </c>
      <c r="D90" s="36"/>
      <c r="E90" s="28"/>
      <c r="F90" s="23"/>
      <c r="G90" s="24">
        <v>40</v>
      </c>
      <c r="H90" s="39"/>
      <c r="I90" s="39"/>
      <c r="J90" s="30"/>
      <c r="K90" s="16"/>
      <c r="L90" s="17"/>
      <c r="M90" s="16"/>
      <c r="N90" s="16"/>
      <c r="O90" s="16"/>
      <c r="P90" s="25"/>
      <c r="Q90" s="33">
        <v>32</v>
      </c>
      <c r="R90" s="23"/>
      <c r="S90" s="28">
        <v>10</v>
      </c>
      <c r="T90" s="34"/>
      <c r="U90" s="34"/>
    </row>
    <row r="91" spans="1:21" ht="18.75" customHeight="1">
      <c r="A91" s="11">
        <v>89</v>
      </c>
      <c r="B91" s="41" t="s">
        <v>117</v>
      </c>
      <c r="C91" s="34" t="s">
        <v>96</v>
      </c>
      <c r="D91" s="36"/>
      <c r="E91" s="28"/>
      <c r="F91" s="23"/>
      <c r="G91" s="24">
        <v>72</v>
      </c>
      <c r="H91" s="39"/>
      <c r="I91" s="39"/>
      <c r="J91" s="30"/>
      <c r="K91" s="16"/>
      <c r="L91" s="17"/>
      <c r="M91" s="16"/>
      <c r="N91" s="16"/>
      <c r="O91" s="16"/>
      <c r="P91" s="25"/>
      <c r="Q91" s="33"/>
      <c r="R91" s="23"/>
      <c r="S91" s="28"/>
      <c r="T91" s="34"/>
      <c r="U91" s="34"/>
    </row>
    <row r="92" spans="1:21" ht="18.75" customHeight="1">
      <c r="A92" s="11">
        <v>90</v>
      </c>
      <c r="B92" s="41" t="s">
        <v>118</v>
      </c>
      <c r="C92" s="34" t="s">
        <v>96</v>
      </c>
      <c r="D92" s="36"/>
      <c r="E92" s="28"/>
      <c r="F92" s="23"/>
      <c r="G92" s="24">
        <v>40</v>
      </c>
      <c r="H92" s="39"/>
      <c r="I92" s="39"/>
      <c r="J92" s="30"/>
      <c r="K92" s="16"/>
      <c r="L92" s="17"/>
      <c r="M92" s="16"/>
      <c r="N92" s="16"/>
      <c r="O92" s="16"/>
      <c r="P92" s="25"/>
      <c r="Q92" s="33">
        <v>28</v>
      </c>
      <c r="R92" s="23"/>
      <c r="S92" s="28">
        <v>20</v>
      </c>
      <c r="T92" s="34"/>
      <c r="U92" s="34"/>
    </row>
    <row r="93" spans="1:21" ht="18.75" customHeight="1">
      <c r="A93" s="11">
        <v>91</v>
      </c>
      <c r="B93" s="41" t="s">
        <v>119</v>
      </c>
      <c r="C93" s="34" t="s">
        <v>96</v>
      </c>
      <c r="D93" s="36"/>
      <c r="E93" s="28"/>
      <c r="F93" s="23"/>
      <c r="G93" s="24">
        <v>80</v>
      </c>
      <c r="H93" s="39"/>
      <c r="I93" s="39"/>
      <c r="J93" s="30"/>
      <c r="K93" s="16"/>
      <c r="L93" s="17"/>
      <c r="M93" s="16"/>
      <c r="N93" s="16"/>
      <c r="O93" s="16"/>
      <c r="P93" s="25"/>
      <c r="Q93" s="33"/>
      <c r="R93" s="23"/>
      <c r="S93" s="28"/>
      <c r="T93" s="34"/>
      <c r="U93" s="34"/>
    </row>
    <row r="94" spans="1:21" ht="18.75" customHeight="1">
      <c r="A94" s="11">
        <v>92</v>
      </c>
      <c r="B94" s="41" t="s">
        <v>120</v>
      </c>
      <c r="C94" s="34" t="s">
        <v>96</v>
      </c>
      <c r="D94" s="36"/>
      <c r="E94" s="28"/>
      <c r="F94" s="23"/>
      <c r="G94" s="24">
        <v>120</v>
      </c>
      <c r="H94" s="39"/>
      <c r="I94" s="39"/>
      <c r="J94" s="30"/>
      <c r="K94" s="16"/>
      <c r="L94" s="17"/>
      <c r="M94" s="16"/>
      <c r="N94" s="16"/>
      <c r="O94" s="16"/>
      <c r="P94" s="25"/>
      <c r="Q94" s="33"/>
      <c r="R94" s="23"/>
      <c r="S94" s="28"/>
      <c r="T94" s="34"/>
      <c r="U94" s="34"/>
    </row>
    <row r="95" spans="1:21" ht="18.75" customHeight="1">
      <c r="A95" s="11">
        <v>93</v>
      </c>
      <c r="B95" s="41" t="s">
        <v>121</v>
      </c>
      <c r="C95" s="34" t="s">
        <v>96</v>
      </c>
      <c r="D95" s="36"/>
      <c r="E95" s="28"/>
      <c r="F95" s="23"/>
      <c r="G95" s="24">
        <v>112</v>
      </c>
      <c r="H95" s="39"/>
      <c r="I95" s="39"/>
      <c r="J95" s="30"/>
      <c r="K95" s="16"/>
      <c r="L95" s="17"/>
      <c r="M95" s="16"/>
      <c r="N95" s="16"/>
      <c r="O95" s="16"/>
      <c r="P95" s="25"/>
      <c r="Q95" s="33"/>
      <c r="R95" s="23"/>
      <c r="S95" s="28"/>
      <c r="T95" s="34"/>
      <c r="U95" s="34"/>
    </row>
    <row r="96" spans="1:21" ht="18.75" customHeight="1">
      <c r="A96" s="11">
        <v>94</v>
      </c>
      <c r="B96" s="41" t="s">
        <v>122</v>
      </c>
      <c r="C96" s="34" t="s">
        <v>96</v>
      </c>
      <c r="D96" s="36"/>
      <c r="E96" s="28"/>
      <c r="F96" s="23"/>
      <c r="G96" s="24">
        <v>40</v>
      </c>
      <c r="H96" s="39"/>
      <c r="I96" s="39"/>
      <c r="J96" s="30"/>
      <c r="K96" s="16"/>
      <c r="L96" s="17"/>
      <c r="M96" s="16"/>
      <c r="N96" s="16"/>
      <c r="O96" s="16"/>
      <c r="P96" s="25"/>
      <c r="Q96" s="33">
        <v>30</v>
      </c>
      <c r="R96" s="23"/>
      <c r="S96" s="28">
        <v>10</v>
      </c>
      <c r="T96" s="34"/>
      <c r="U96" s="34"/>
    </row>
    <row r="97" spans="1:21" ht="18.75" customHeight="1">
      <c r="A97" s="11">
        <v>95</v>
      </c>
      <c r="B97" s="41" t="s">
        <v>123</v>
      </c>
      <c r="C97" s="34" t="s">
        <v>96</v>
      </c>
      <c r="D97" s="36"/>
      <c r="E97" s="28"/>
      <c r="F97" s="23"/>
      <c r="G97" s="24">
        <v>88</v>
      </c>
      <c r="H97" s="39"/>
      <c r="I97" s="39"/>
      <c r="J97" s="30">
        <v>4</v>
      </c>
      <c r="K97" s="16">
        <f t="shared" ref="K97:K139" si="12">J97*8</f>
        <v>32</v>
      </c>
      <c r="L97" s="17">
        <v>2</v>
      </c>
      <c r="M97" s="16">
        <f t="shared" ref="M97:M135" si="13">L97*12</f>
        <v>24</v>
      </c>
      <c r="N97" s="16">
        <f t="shared" ref="N97:N135" si="14">L97*4</f>
        <v>8</v>
      </c>
      <c r="O97" s="16">
        <f t="shared" ref="O97:O139" si="15">N97+M97+K97</f>
        <v>64</v>
      </c>
      <c r="P97" s="25"/>
      <c r="Q97" s="33"/>
      <c r="R97" s="23"/>
      <c r="S97" s="28"/>
      <c r="T97" s="34"/>
      <c r="U97" s="34"/>
    </row>
    <row r="98" spans="1:21" ht="18.75" customHeight="1">
      <c r="A98" s="11">
        <v>96</v>
      </c>
      <c r="B98" s="41" t="s">
        <v>124</v>
      </c>
      <c r="C98" s="34" t="s">
        <v>96</v>
      </c>
      <c r="D98" s="36"/>
      <c r="E98" s="28"/>
      <c r="F98" s="23"/>
      <c r="G98" s="24">
        <v>120</v>
      </c>
      <c r="H98" s="39"/>
      <c r="I98" s="39"/>
      <c r="J98" s="30"/>
      <c r="K98" s="16"/>
      <c r="L98" s="17"/>
      <c r="M98" s="16"/>
      <c r="N98" s="16"/>
      <c r="O98" s="16"/>
      <c r="P98" s="25"/>
      <c r="Q98" s="33"/>
      <c r="R98" s="23"/>
      <c r="S98" s="28"/>
      <c r="T98" s="34"/>
      <c r="U98" s="34"/>
    </row>
    <row r="99" spans="1:21" ht="18.75" customHeight="1">
      <c r="A99" s="11">
        <v>97</v>
      </c>
      <c r="B99" s="41" t="s">
        <v>125</v>
      </c>
      <c r="C99" s="34" t="s">
        <v>96</v>
      </c>
      <c r="D99" s="36"/>
      <c r="E99" s="28"/>
      <c r="F99" s="23"/>
      <c r="G99" s="24">
        <v>120</v>
      </c>
      <c r="H99" s="39"/>
      <c r="I99" s="39"/>
      <c r="J99" s="30"/>
      <c r="K99" s="16"/>
      <c r="L99" s="17"/>
      <c r="M99" s="16"/>
      <c r="N99" s="16"/>
      <c r="O99" s="16"/>
      <c r="P99" s="25"/>
      <c r="Q99" s="33"/>
      <c r="R99" s="23"/>
      <c r="S99" s="28"/>
      <c r="T99" s="34"/>
      <c r="U99" s="34"/>
    </row>
    <row r="100" spans="1:21" ht="18.75" customHeight="1">
      <c r="A100" s="11">
        <v>98</v>
      </c>
      <c r="B100" s="41" t="s">
        <v>126</v>
      </c>
      <c r="C100" s="34" t="s">
        <v>96</v>
      </c>
      <c r="D100" s="36"/>
      <c r="E100" s="28"/>
      <c r="F100" s="23"/>
      <c r="G100" s="24">
        <v>80</v>
      </c>
      <c r="H100" s="39"/>
      <c r="I100" s="39"/>
      <c r="J100" s="30"/>
      <c r="K100" s="16"/>
      <c r="L100" s="17"/>
      <c r="M100" s="16"/>
      <c r="N100" s="16"/>
      <c r="O100" s="16"/>
      <c r="P100" s="25"/>
      <c r="Q100" s="33"/>
      <c r="R100" s="23"/>
      <c r="S100" s="28"/>
      <c r="T100" s="34"/>
      <c r="U100" s="34"/>
    </row>
    <row r="101" spans="1:21" ht="18.75" customHeight="1">
      <c r="A101" s="11">
        <v>99</v>
      </c>
      <c r="B101" s="41" t="s">
        <v>127</v>
      </c>
      <c r="C101" s="34" t="s">
        <v>96</v>
      </c>
      <c r="D101" s="36"/>
      <c r="E101" s="28"/>
      <c r="F101" s="39">
        <v>120</v>
      </c>
      <c r="H101" s="39"/>
      <c r="I101" s="39"/>
      <c r="J101" s="30"/>
      <c r="K101" s="16"/>
      <c r="L101" s="17"/>
      <c r="M101" s="16"/>
      <c r="N101" s="16"/>
      <c r="O101" s="16"/>
      <c r="P101" s="25"/>
      <c r="Q101" s="33"/>
      <c r="R101" s="23"/>
      <c r="S101" s="28"/>
      <c r="T101" s="34"/>
      <c r="U101" s="34"/>
    </row>
    <row r="102" spans="1:21" ht="18.75" customHeight="1">
      <c r="A102" s="11">
        <v>100</v>
      </c>
      <c r="B102" s="41" t="s">
        <v>128</v>
      </c>
      <c r="C102" s="34" t="s">
        <v>96</v>
      </c>
      <c r="D102" s="36"/>
      <c r="E102" s="28"/>
      <c r="F102" s="23"/>
      <c r="G102" s="24">
        <v>40</v>
      </c>
      <c r="H102" s="39"/>
      <c r="I102" s="39"/>
      <c r="J102" s="30"/>
      <c r="K102" s="16"/>
      <c r="L102" s="17"/>
      <c r="M102" s="16"/>
      <c r="N102" s="16"/>
      <c r="O102" s="16"/>
      <c r="P102" s="25"/>
      <c r="Q102" s="33">
        <v>34</v>
      </c>
      <c r="R102" s="23"/>
      <c r="S102" s="28">
        <v>10</v>
      </c>
      <c r="T102" s="34"/>
      <c r="U102" s="34"/>
    </row>
    <row r="103" spans="1:21" ht="18.75" customHeight="1">
      <c r="A103" s="11">
        <v>101</v>
      </c>
      <c r="B103" s="19" t="s">
        <v>129</v>
      </c>
      <c r="C103" s="34" t="s">
        <v>96</v>
      </c>
      <c r="D103" s="36"/>
      <c r="E103" s="28"/>
      <c r="F103" s="23"/>
      <c r="G103" s="24">
        <v>120</v>
      </c>
      <c r="H103" s="39"/>
      <c r="I103" s="39"/>
      <c r="J103" s="30"/>
      <c r="K103" s="16"/>
      <c r="L103" s="17"/>
      <c r="M103" s="16"/>
      <c r="N103" s="16"/>
      <c r="O103" s="16"/>
      <c r="P103" s="25"/>
      <c r="Q103" s="33"/>
      <c r="R103" s="23"/>
      <c r="S103" s="28"/>
      <c r="T103" s="34"/>
      <c r="U103" s="34"/>
    </row>
    <row r="104" spans="1:21" ht="18.75" customHeight="1">
      <c r="A104" s="11">
        <v>102</v>
      </c>
      <c r="B104" s="19" t="s">
        <v>130</v>
      </c>
      <c r="C104" s="34" t="s">
        <v>96</v>
      </c>
      <c r="D104" s="36"/>
      <c r="E104" s="28"/>
      <c r="F104" s="39">
        <v>96</v>
      </c>
      <c r="G104" s="82">
        <v>24</v>
      </c>
      <c r="H104" s="39"/>
      <c r="I104" s="39"/>
      <c r="J104" s="30"/>
      <c r="K104" s="16"/>
      <c r="L104" s="17"/>
      <c r="M104" s="16"/>
      <c r="N104" s="16"/>
      <c r="O104" s="16"/>
      <c r="P104" s="25"/>
      <c r="Q104" s="33"/>
      <c r="R104" s="23"/>
      <c r="S104" s="28"/>
      <c r="T104" s="34"/>
      <c r="U104" s="34"/>
    </row>
    <row r="105" spans="1:21" ht="18.75" customHeight="1">
      <c r="A105" s="11">
        <v>103</v>
      </c>
      <c r="B105" s="19" t="s">
        <v>131</v>
      </c>
      <c r="C105" s="34" t="s">
        <v>96</v>
      </c>
      <c r="D105" s="36"/>
      <c r="E105" s="28"/>
      <c r="F105" s="23"/>
      <c r="G105" s="24">
        <v>120</v>
      </c>
      <c r="H105" s="39"/>
      <c r="I105" s="39"/>
      <c r="J105" s="30"/>
      <c r="K105" s="16"/>
      <c r="L105" s="17"/>
      <c r="M105" s="16"/>
      <c r="N105" s="16"/>
      <c r="O105" s="16"/>
      <c r="P105" s="25"/>
      <c r="Q105" s="33"/>
      <c r="R105" s="23"/>
      <c r="S105" s="28"/>
      <c r="T105" s="34"/>
      <c r="U105" s="34"/>
    </row>
    <row r="106" spans="1:21" ht="18.75" customHeight="1">
      <c r="A106" s="11">
        <v>104</v>
      </c>
      <c r="B106" s="41" t="s">
        <v>132</v>
      </c>
      <c r="C106" s="34" t="s">
        <v>96</v>
      </c>
      <c r="D106" s="36"/>
      <c r="E106" s="28"/>
      <c r="F106" s="23"/>
      <c r="G106" s="24">
        <v>64</v>
      </c>
      <c r="H106" s="39"/>
      <c r="I106" s="39"/>
      <c r="J106" s="30"/>
      <c r="K106" s="16"/>
      <c r="L106" s="17"/>
      <c r="M106" s="16"/>
      <c r="N106" s="16"/>
      <c r="O106" s="16"/>
      <c r="P106" s="25"/>
      <c r="Q106" s="33"/>
      <c r="R106" s="23"/>
      <c r="S106" s="28"/>
      <c r="T106" s="34"/>
      <c r="U106" s="34"/>
    </row>
    <row r="107" spans="1:21" ht="18.75" customHeight="1">
      <c r="A107" s="11">
        <v>105</v>
      </c>
      <c r="B107" s="19" t="s">
        <v>133</v>
      </c>
      <c r="C107" s="34" t="s">
        <v>96</v>
      </c>
      <c r="D107" s="21" t="s">
        <v>455</v>
      </c>
      <c r="E107" s="28"/>
      <c r="F107" s="23"/>
      <c r="G107" s="24"/>
      <c r="H107" s="39"/>
      <c r="I107" s="39"/>
      <c r="J107" s="30"/>
      <c r="K107" s="16"/>
      <c r="L107" s="17"/>
      <c r="M107" s="16"/>
      <c r="N107" s="16"/>
      <c r="O107" s="16"/>
      <c r="P107" s="25"/>
      <c r="Q107" s="33"/>
      <c r="R107" s="23"/>
      <c r="S107" s="28"/>
      <c r="T107" s="34"/>
      <c r="U107" s="34"/>
    </row>
    <row r="108" spans="1:21" ht="18.75" customHeight="1">
      <c r="A108" s="11">
        <v>106</v>
      </c>
      <c r="B108" s="19" t="s">
        <v>134</v>
      </c>
      <c r="C108" s="34" t="s">
        <v>96</v>
      </c>
      <c r="D108" s="21"/>
      <c r="E108" s="28"/>
      <c r="F108" s="23"/>
      <c r="G108" s="24">
        <v>120</v>
      </c>
      <c r="H108" s="39"/>
      <c r="I108" s="39"/>
      <c r="J108" s="30"/>
      <c r="K108" s="16"/>
      <c r="L108" s="17"/>
      <c r="M108" s="16"/>
      <c r="N108" s="16"/>
      <c r="O108" s="16"/>
      <c r="P108" s="25"/>
      <c r="Q108" s="33"/>
      <c r="R108" s="23"/>
      <c r="S108" s="28"/>
      <c r="T108" s="34"/>
      <c r="U108" s="34"/>
    </row>
    <row r="109" spans="1:21" s="1" customFormat="1" ht="18.75" customHeight="1">
      <c r="A109" s="11">
        <v>107</v>
      </c>
      <c r="B109" s="42" t="s">
        <v>135</v>
      </c>
      <c r="C109" s="34" t="s">
        <v>96</v>
      </c>
      <c r="D109" s="21"/>
      <c r="E109" s="28"/>
      <c r="F109" s="23"/>
      <c r="G109" s="24">
        <v>120</v>
      </c>
      <c r="H109" s="39"/>
      <c r="I109" s="39"/>
      <c r="J109" s="30"/>
      <c r="K109" s="16"/>
      <c r="L109" s="17"/>
      <c r="M109" s="16"/>
      <c r="N109" s="16"/>
      <c r="O109" s="16"/>
      <c r="P109" s="25">
        <v>30</v>
      </c>
      <c r="Q109" s="33"/>
      <c r="R109" s="23"/>
      <c r="S109" s="28">
        <v>49</v>
      </c>
      <c r="T109" s="34"/>
      <c r="U109" s="34"/>
    </row>
    <row r="110" spans="1:21" ht="18.75" customHeight="1">
      <c r="A110" s="11">
        <v>108</v>
      </c>
      <c r="B110" s="19" t="s">
        <v>136</v>
      </c>
      <c r="C110" s="34" t="s">
        <v>96</v>
      </c>
      <c r="D110" s="21"/>
      <c r="E110" s="28"/>
      <c r="F110" s="23"/>
      <c r="G110" s="24">
        <v>112</v>
      </c>
      <c r="H110" s="39"/>
      <c r="I110" s="39"/>
      <c r="J110" s="30">
        <v>1</v>
      </c>
      <c r="K110" s="16">
        <f t="shared" si="12"/>
        <v>8</v>
      </c>
      <c r="L110" s="17"/>
      <c r="M110" s="16"/>
      <c r="N110" s="16"/>
      <c r="O110" s="16">
        <f t="shared" si="15"/>
        <v>8</v>
      </c>
      <c r="P110" s="25"/>
      <c r="Q110" s="33"/>
      <c r="R110" s="23"/>
      <c r="S110" s="28"/>
      <c r="T110" s="34"/>
      <c r="U110" s="34"/>
    </row>
    <row r="111" spans="1:21" s="1" customFormat="1" ht="18.75" customHeight="1">
      <c r="A111" s="11">
        <v>109</v>
      </c>
      <c r="B111" s="42" t="s">
        <v>137</v>
      </c>
      <c r="C111" s="34" t="s">
        <v>96</v>
      </c>
      <c r="D111" s="21"/>
      <c r="E111" s="28"/>
      <c r="F111" s="23"/>
      <c r="G111" s="24">
        <v>80</v>
      </c>
      <c r="H111" s="39"/>
      <c r="I111" s="39"/>
      <c r="J111" s="30">
        <v>1</v>
      </c>
      <c r="K111" s="16">
        <f t="shared" si="12"/>
        <v>8</v>
      </c>
      <c r="L111" s="17"/>
      <c r="M111" s="16"/>
      <c r="N111" s="16"/>
      <c r="O111" s="16">
        <f t="shared" si="15"/>
        <v>8</v>
      </c>
      <c r="P111" s="25"/>
      <c r="Q111" s="33"/>
      <c r="R111" s="23"/>
      <c r="S111" s="28"/>
      <c r="T111" s="34"/>
      <c r="U111" s="34"/>
    </row>
    <row r="112" spans="1:21" s="1" customFormat="1" ht="18.75" customHeight="1">
      <c r="A112" s="11">
        <v>110</v>
      </c>
      <c r="B112" s="42" t="s">
        <v>138</v>
      </c>
      <c r="C112" s="34" t="s">
        <v>96</v>
      </c>
      <c r="D112" s="43"/>
      <c r="E112" s="28"/>
      <c r="F112" s="23"/>
      <c r="G112" s="24">
        <v>88</v>
      </c>
      <c r="H112" s="39"/>
      <c r="I112" s="39"/>
      <c r="J112" s="30"/>
      <c r="K112" s="16"/>
      <c r="L112" s="17"/>
      <c r="M112" s="16"/>
      <c r="N112" s="16"/>
      <c r="O112" s="16"/>
      <c r="P112" s="25"/>
      <c r="Q112" s="33"/>
      <c r="R112" s="23"/>
      <c r="S112" s="28"/>
      <c r="T112" s="34"/>
      <c r="U112" s="47"/>
    </row>
    <row r="113" spans="1:21" s="1" customFormat="1" ht="18.75" customHeight="1">
      <c r="A113" s="11">
        <v>111</v>
      </c>
      <c r="B113" s="42" t="s">
        <v>139</v>
      </c>
      <c r="C113" s="34" t="s">
        <v>96</v>
      </c>
      <c r="D113" s="43" t="s">
        <v>460</v>
      </c>
      <c r="E113" s="28"/>
      <c r="F113" s="23"/>
      <c r="G113" s="24">
        <v>120</v>
      </c>
      <c r="H113" s="39"/>
      <c r="I113" s="39"/>
      <c r="J113" s="30"/>
      <c r="K113" s="16"/>
      <c r="L113" s="17"/>
      <c r="M113" s="16"/>
      <c r="N113" s="16"/>
      <c r="O113" s="16"/>
      <c r="P113" s="25"/>
      <c r="Q113" s="33"/>
      <c r="R113" s="23"/>
      <c r="S113" s="28"/>
      <c r="T113" s="34"/>
      <c r="U113" s="34"/>
    </row>
    <row r="114" spans="1:21" s="1" customFormat="1" ht="18.75" customHeight="1">
      <c r="A114" s="11">
        <v>112</v>
      </c>
      <c r="B114" s="42" t="s">
        <v>140</v>
      </c>
      <c r="C114" s="34" t="s">
        <v>96</v>
      </c>
      <c r="D114" s="43"/>
      <c r="E114" s="28"/>
      <c r="F114" s="23"/>
      <c r="G114" s="24">
        <v>88</v>
      </c>
      <c r="H114" s="39"/>
      <c r="I114" s="39"/>
      <c r="J114" s="30"/>
      <c r="K114" s="16"/>
      <c r="L114" s="17"/>
      <c r="M114" s="16"/>
      <c r="N114" s="16"/>
      <c r="O114" s="16"/>
      <c r="P114" s="25"/>
      <c r="Q114" s="33"/>
      <c r="R114" s="23"/>
      <c r="S114" s="28"/>
      <c r="T114" s="34"/>
      <c r="U114" s="34"/>
    </row>
    <row r="115" spans="1:21" s="1" customFormat="1" ht="18.75" customHeight="1">
      <c r="A115" s="11">
        <v>113</v>
      </c>
      <c r="B115" s="42" t="s">
        <v>141</v>
      </c>
      <c r="C115" s="34" t="s">
        <v>96</v>
      </c>
      <c r="D115" s="43" t="s">
        <v>450</v>
      </c>
      <c r="E115" s="28"/>
      <c r="F115" s="23"/>
      <c r="G115" s="24">
        <v>120</v>
      </c>
      <c r="H115" s="39"/>
      <c r="I115" s="39"/>
      <c r="J115" s="30"/>
      <c r="K115" s="16"/>
      <c r="L115" s="17"/>
      <c r="M115" s="16"/>
      <c r="N115" s="16"/>
      <c r="O115" s="16"/>
      <c r="P115" s="25"/>
      <c r="Q115" s="33"/>
      <c r="R115" s="23"/>
      <c r="S115" s="28"/>
      <c r="T115" s="34"/>
      <c r="U115" s="34"/>
    </row>
    <row r="116" spans="1:21" s="1" customFormat="1" ht="18.75" customHeight="1">
      <c r="A116" s="11">
        <v>114</v>
      </c>
      <c r="B116" s="42" t="s">
        <v>142</v>
      </c>
      <c r="C116" s="34" t="s">
        <v>96</v>
      </c>
      <c r="D116" s="43" t="s">
        <v>450</v>
      </c>
      <c r="E116" s="28"/>
      <c r="F116" s="23"/>
      <c r="G116" s="24">
        <v>120</v>
      </c>
      <c r="H116" s="39"/>
      <c r="I116" s="39"/>
      <c r="J116" s="30"/>
      <c r="K116" s="16"/>
      <c r="L116" s="17"/>
      <c r="M116" s="16"/>
      <c r="N116" s="16"/>
      <c r="O116" s="16"/>
      <c r="P116" s="25"/>
      <c r="Q116" s="33"/>
      <c r="R116" s="23"/>
      <c r="S116" s="28"/>
      <c r="T116" s="34"/>
      <c r="U116" s="34"/>
    </row>
    <row r="117" spans="1:21" s="1" customFormat="1" ht="18.75" customHeight="1">
      <c r="A117" s="11">
        <v>115</v>
      </c>
      <c r="B117" s="42" t="s">
        <v>143</v>
      </c>
      <c r="C117" s="34" t="s">
        <v>96</v>
      </c>
      <c r="D117" s="43"/>
      <c r="E117" s="28"/>
      <c r="F117" s="23"/>
      <c r="G117" s="24">
        <v>120</v>
      </c>
      <c r="H117" s="39"/>
      <c r="I117" s="39"/>
      <c r="J117" s="30"/>
      <c r="K117" s="16"/>
      <c r="L117" s="17"/>
      <c r="M117" s="16"/>
      <c r="N117" s="16"/>
      <c r="O117" s="16"/>
      <c r="P117" s="25"/>
      <c r="Q117" s="33"/>
      <c r="R117" s="23"/>
      <c r="S117" s="28"/>
      <c r="T117" s="34"/>
      <c r="U117" s="34"/>
    </row>
    <row r="118" spans="1:21" s="1" customFormat="1" ht="18.75" customHeight="1">
      <c r="A118" s="11">
        <v>116</v>
      </c>
      <c r="B118" s="42" t="s">
        <v>144</v>
      </c>
      <c r="C118" s="34" t="s">
        <v>96</v>
      </c>
      <c r="D118" s="43"/>
      <c r="E118" s="28"/>
      <c r="F118" s="23"/>
      <c r="G118" s="24">
        <v>88</v>
      </c>
      <c r="H118" s="39"/>
      <c r="I118" s="39"/>
      <c r="J118" s="30"/>
      <c r="K118" s="16"/>
      <c r="L118" s="17"/>
      <c r="M118" s="16"/>
      <c r="N118" s="16"/>
      <c r="O118" s="16"/>
      <c r="P118" s="25"/>
      <c r="Q118" s="33"/>
      <c r="R118" s="23"/>
      <c r="S118" s="28"/>
      <c r="T118" s="34"/>
      <c r="U118" s="34"/>
    </row>
    <row r="119" spans="1:21" s="1" customFormat="1" ht="18.75" customHeight="1">
      <c r="A119" s="11">
        <v>117</v>
      </c>
      <c r="B119" s="42" t="s">
        <v>145</v>
      </c>
      <c r="C119" s="34" t="s">
        <v>96</v>
      </c>
      <c r="D119" s="43"/>
      <c r="E119" s="28"/>
      <c r="F119" s="23"/>
      <c r="G119" s="24">
        <v>40</v>
      </c>
      <c r="H119" s="39"/>
      <c r="I119" s="39"/>
      <c r="J119" s="30"/>
      <c r="K119" s="16"/>
      <c r="L119" s="17"/>
      <c r="M119" s="16"/>
      <c r="N119" s="16"/>
      <c r="O119" s="16"/>
      <c r="P119" s="25"/>
      <c r="Q119" s="33">
        <v>34</v>
      </c>
      <c r="R119" s="23"/>
      <c r="S119" s="28">
        <v>10</v>
      </c>
      <c r="T119" s="34"/>
      <c r="U119" s="34"/>
    </row>
    <row r="120" spans="1:21" s="1" customFormat="1" ht="18.75" customHeight="1">
      <c r="A120" s="11">
        <v>118</v>
      </c>
      <c r="B120" s="42" t="s">
        <v>146</v>
      </c>
      <c r="C120" s="34" t="s">
        <v>96</v>
      </c>
      <c r="D120" s="43"/>
      <c r="E120" s="28"/>
      <c r="F120" s="23"/>
      <c r="G120" s="24">
        <v>120</v>
      </c>
      <c r="H120" s="39"/>
      <c r="I120" s="39"/>
      <c r="J120" s="30"/>
      <c r="K120" s="16"/>
      <c r="L120" s="17"/>
      <c r="M120" s="16"/>
      <c r="N120" s="16"/>
      <c r="O120" s="16"/>
      <c r="P120" s="25"/>
      <c r="Q120" s="33"/>
      <c r="R120" s="23"/>
      <c r="S120" s="28"/>
      <c r="T120" s="34"/>
      <c r="U120" s="34"/>
    </row>
    <row r="121" spans="1:21" s="1" customFormat="1" ht="18.75" customHeight="1">
      <c r="A121" s="11">
        <v>119</v>
      </c>
      <c r="B121" s="42" t="s">
        <v>147</v>
      </c>
      <c r="C121" s="34" t="s">
        <v>96</v>
      </c>
      <c r="D121" s="43"/>
      <c r="E121" s="28"/>
      <c r="F121" s="87">
        <v>120</v>
      </c>
      <c r="H121" s="39"/>
      <c r="I121" s="39"/>
      <c r="J121" s="30"/>
      <c r="K121" s="16"/>
      <c r="L121" s="17"/>
      <c r="M121" s="16"/>
      <c r="N121" s="16"/>
      <c r="O121" s="16"/>
      <c r="P121" s="25"/>
      <c r="Q121" s="33"/>
      <c r="R121" s="23"/>
      <c r="S121" s="28"/>
      <c r="T121" s="34"/>
      <c r="U121" s="34"/>
    </row>
    <row r="122" spans="1:21" s="1" customFormat="1" ht="18.75" customHeight="1">
      <c r="A122" s="11">
        <v>120</v>
      </c>
      <c r="B122" s="42" t="s">
        <v>148</v>
      </c>
      <c r="C122" s="34" t="s">
        <v>96</v>
      </c>
      <c r="D122" s="21"/>
      <c r="E122" s="28"/>
      <c r="F122" s="23"/>
      <c r="G122" s="24">
        <v>88</v>
      </c>
      <c r="H122" s="39"/>
      <c r="I122" s="39"/>
      <c r="J122" s="30"/>
      <c r="K122" s="16"/>
      <c r="L122" s="17"/>
      <c r="M122" s="16"/>
      <c r="N122" s="16"/>
      <c r="O122" s="16"/>
      <c r="P122" s="25"/>
      <c r="Q122" s="33"/>
      <c r="R122" s="23"/>
      <c r="S122" s="28"/>
      <c r="T122" s="34"/>
      <c r="U122" s="34"/>
    </row>
    <row r="123" spans="1:21" s="1" customFormat="1" ht="18.75" customHeight="1">
      <c r="A123" s="11">
        <v>121</v>
      </c>
      <c r="B123" s="42" t="s">
        <v>149</v>
      </c>
      <c r="C123" s="34" t="s">
        <v>96</v>
      </c>
      <c r="D123" s="43"/>
      <c r="E123" s="28"/>
      <c r="F123" s="23"/>
      <c r="G123" s="24">
        <v>80</v>
      </c>
      <c r="H123" s="39"/>
      <c r="I123" s="39"/>
      <c r="J123" s="30"/>
      <c r="K123" s="16"/>
      <c r="L123" s="17"/>
      <c r="M123" s="16"/>
      <c r="N123" s="16"/>
      <c r="O123" s="16"/>
      <c r="P123" s="25"/>
      <c r="Q123" s="33"/>
      <c r="R123" s="23"/>
      <c r="S123" s="28"/>
      <c r="T123" s="34"/>
      <c r="U123" s="34"/>
    </row>
    <row r="124" spans="1:21" s="1" customFormat="1" ht="18.75" customHeight="1">
      <c r="A124" s="11">
        <v>122</v>
      </c>
      <c r="B124" s="42" t="s">
        <v>150</v>
      </c>
      <c r="C124" s="34" t="s">
        <v>96</v>
      </c>
      <c r="D124" s="43"/>
      <c r="E124" s="28"/>
      <c r="F124" s="23"/>
      <c r="G124" s="24">
        <v>88</v>
      </c>
      <c r="H124" s="39"/>
      <c r="I124" s="39"/>
      <c r="J124" s="30">
        <v>2.5</v>
      </c>
      <c r="K124" s="16">
        <f t="shared" si="12"/>
        <v>20</v>
      </c>
      <c r="L124" s="17">
        <v>5</v>
      </c>
      <c r="M124" s="16">
        <f t="shared" si="13"/>
        <v>60</v>
      </c>
      <c r="N124" s="16">
        <f t="shared" si="14"/>
        <v>20</v>
      </c>
      <c r="O124" s="16">
        <f t="shared" si="15"/>
        <v>100</v>
      </c>
      <c r="P124" s="25"/>
      <c r="Q124" s="33"/>
      <c r="R124" s="23"/>
      <c r="S124" s="28"/>
      <c r="T124" s="34"/>
      <c r="U124" s="34"/>
    </row>
    <row r="125" spans="1:21" s="1" customFormat="1" ht="18.75" customHeight="1">
      <c r="A125" s="11">
        <v>123</v>
      </c>
      <c r="B125" s="42" t="s">
        <v>151</v>
      </c>
      <c r="C125" s="34" t="s">
        <v>96</v>
      </c>
      <c r="D125" s="85" t="s">
        <v>459</v>
      </c>
      <c r="E125" s="28"/>
      <c r="G125" s="24">
        <v>120</v>
      </c>
      <c r="H125" s="39"/>
      <c r="I125" s="39"/>
      <c r="J125" s="30"/>
      <c r="K125" s="16"/>
      <c r="L125" s="17"/>
      <c r="M125" s="16"/>
      <c r="N125" s="16"/>
      <c r="O125" s="16"/>
      <c r="P125" s="25"/>
      <c r="Q125" s="33"/>
      <c r="R125" s="23"/>
      <c r="S125" s="28"/>
      <c r="T125" s="34"/>
      <c r="U125" s="34"/>
    </row>
    <row r="126" spans="1:21" s="1" customFormat="1" ht="18.75" customHeight="1">
      <c r="A126" s="11">
        <v>124</v>
      </c>
      <c r="B126" s="42" t="s">
        <v>152</v>
      </c>
      <c r="C126" s="34" t="s">
        <v>96</v>
      </c>
      <c r="D126" s="43"/>
      <c r="E126" s="28"/>
      <c r="F126" s="23"/>
      <c r="G126" s="24">
        <v>120</v>
      </c>
      <c r="H126" s="39"/>
      <c r="I126" s="39"/>
      <c r="J126" s="30"/>
      <c r="K126" s="16"/>
      <c r="L126" s="17"/>
      <c r="M126" s="16"/>
      <c r="N126" s="16"/>
      <c r="O126" s="16"/>
      <c r="P126" s="25"/>
      <c r="Q126" s="33"/>
      <c r="R126" s="23"/>
      <c r="S126" s="28"/>
      <c r="T126" s="34"/>
      <c r="U126" s="34"/>
    </row>
    <row r="127" spans="1:21" s="1" customFormat="1" ht="18.75" customHeight="1">
      <c r="A127" s="11">
        <v>125</v>
      </c>
      <c r="B127" s="42" t="s">
        <v>153</v>
      </c>
      <c r="C127" s="34" t="s">
        <v>96</v>
      </c>
      <c r="D127" s="43"/>
      <c r="E127" s="28"/>
      <c r="F127" s="23"/>
      <c r="G127" s="24">
        <v>120</v>
      </c>
      <c r="H127" s="39"/>
      <c r="I127" s="39"/>
      <c r="J127" s="30"/>
      <c r="K127" s="16"/>
      <c r="L127" s="17"/>
      <c r="M127" s="16"/>
      <c r="N127" s="16"/>
      <c r="O127" s="16"/>
      <c r="P127" s="25"/>
      <c r="Q127" s="33"/>
      <c r="R127" s="23"/>
      <c r="S127" s="28"/>
      <c r="T127" s="34"/>
      <c r="U127" s="34"/>
    </row>
    <row r="128" spans="1:21" ht="18.75" customHeight="1">
      <c r="A128" s="11">
        <v>126</v>
      </c>
      <c r="B128" s="41" t="s">
        <v>154</v>
      </c>
      <c r="C128" s="34" t="s">
        <v>155</v>
      </c>
      <c r="D128" s="36"/>
      <c r="E128" s="28"/>
      <c r="F128" s="23"/>
      <c r="G128" s="24">
        <v>112</v>
      </c>
      <c r="H128" s="39"/>
      <c r="I128" s="39"/>
      <c r="J128" s="30"/>
      <c r="K128" s="16"/>
      <c r="L128" s="17"/>
      <c r="M128" s="16"/>
      <c r="N128" s="16"/>
      <c r="O128" s="16"/>
      <c r="P128" s="25"/>
      <c r="Q128" s="33"/>
      <c r="R128" s="23"/>
      <c r="S128" s="28"/>
      <c r="T128" s="34"/>
      <c r="U128" s="34"/>
    </row>
    <row r="129" spans="1:21" ht="18.75" customHeight="1">
      <c r="A129" s="11">
        <v>127</v>
      </c>
      <c r="B129" s="41" t="s">
        <v>156</v>
      </c>
      <c r="C129" s="34" t="s">
        <v>155</v>
      </c>
      <c r="D129" s="36"/>
      <c r="E129" s="28"/>
      <c r="F129" s="23"/>
      <c r="G129" s="24">
        <v>88</v>
      </c>
      <c r="H129" s="39"/>
      <c r="I129" s="39"/>
      <c r="J129" s="30"/>
      <c r="K129" s="16"/>
      <c r="L129" s="17"/>
      <c r="M129" s="16"/>
      <c r="N129" s="16"/>
      <c r="O129" s="16"/>
      <c r="P129" s="25"/>
      <c r="Q129" s="33"/>
      <c r="R129" s="23"/>
      <c r="S129" s="28"/>
      <c r="T129" s="34"/>
      <c r="U129" s="34"/>
    </row>
    <row r="130" spans="1:21" ht="18.75" customHeight="1">
      <c r="A130" s="11">
        <v>128</v>
      </c>
      <c r="B130" s="41" t="s">
        <v>157</v>
      </c>
      <c r="C130" s="34" t="s">
        <v>155</v>
      </c>
      <c r="D130" s="36"/>
      <c r="E130" s="28"/>
      <c r="F130" s="23"/>
      <c r="G130" s="24">
        <v>120</v>
      </c>
      <c r="H130" s="39"/>
      <c r="I130" s="39"/>
      <c r="J130" s="30"/>
      <c r="K130" s="16"/>
      <c r="L130" s="17"/>
      <c r="M130" s="16"/>
      <c r="N130" s="16"/>
      <c r="O130" s="16"/>
      <c r="P130" s="25"/>
      <c r="Q130" s="33"/>
      <c r="R130" s="23"/>
      <c r="S130" s="28"/>
      <c r="T130" s="34"/>
      <c r="U130" s="34"/>
    </row>
    <row r="131" spans="1:21" ht="18.75" customHeight="1">
      <c r="A131" s="11">
        <v>129</v>
      </c>
      <c r="B131" s="41" t="s">
        <v>158</v>
      </c>
      <c r="C131" s="34" t="s">
        <v>155</v>
      </c>
      <c r="D131" s="36"/>
      <c r="E131" s="28"/>
      <c r="F131" s="23"/>
      <c r="G131" s="24">
        <v>80</v>
      </c>
      <c r="H131" s="39"/>
      <c r="I131" s="39"/>
      <c r="J131" s="30"/>
      <c r="K131" s="16"/>
      <c r="L131" s="17"/>
      <c r="M131" s="16"/>
      <c r="N131" s="16"/>
      <c r="O131" s="16"/>
      <c r="P131" s="25"/>
      <c r="Q131" s="33"/>
      <c r="R131" s="23"/>
      <c r="S131" s="28"/>
      <c r="T131" s="34"/>
      <c r="U131" s="34"/>
    </row>
    <row r="132" spans="1:21" ht="18.75" customHeight="1">
      <c r="A132" s="11">
        <v>130</v>
      </c>
      <c r="B132" s="41" t="s">
        <v>159</v>
      </c>
      <c r="C132" s="34" t="s">
        <v>155</v>
      </c>
      <c r="D132" s="36"/>
      <c r="E132" s="28"/>
      <c r="F132" s="23"/>
      <c r="G132" s="24">
        <v>120</v>
      </c>
      <c r="H132" s="39"/>
      <c r="I132" s="39"/>
      <c r="J132" s="30"/>
      <c r="K132" s="16"/>
      <c r="L132" s="17"/>
      <c r="M132" s="16"/>
      <c r="N132" s="16"/>
      <c r="O132" s="16"/>
      <c r="P132" s="25"/>
      <c r="Q132" s="33"/>
      <c r="R132" s="23"/>
      <c r="S132" s="28"/>
      <c r="T132" s="34"/>
      <c r="U132" s="34"/>
    </row>
    <row r="133" spans="1:21" s="1" customFormat="1" ht="18.75" customHeight="1">
      <c r="A133" s="11">
        <v>131</v>
      </c>
      <c r="B133" s="41" t="s">
        <v>160</v>
      </c>
      <c r="C133" s="34" t="s">
        <v>155</v>
      </c>
      <c r="D133" s="36"/>
      <c r="E133" s="28"/>
      <c r="F133" s="23"/>
      <c r="G133" s="24">
        <v>88</v>
      </c>
      <c r="H133" s="39"/>
      <c r="I133" s="39"/>
      <c r="J133" s="30">
        <v>1</v>
      </c>
      <c r="K133" s="16">
        <f t="shared" si="12"/>
        <v>8</v>
      </c>
      <c r="L133" s="17"/>
      <c r="M133" s="16"/>
      <c r="N133" s="16"/>
      <c r="O133" s="16">
        <f t="shared" si="15"/>
        <v>8</v>
      </c>
      <c r="P133" s="25"/>
      <c r="Q133" s="33"/>
      <c r="R133" s="23"/>
      <c r="S133" s="28"/>
      <c r="T133" s="34"/>
      <c r="U133" s="34"/>
    </row>
    <row r="134" spans="1:21" ht="18.75" customHeight="1">
      <c r="A134" s="11">
        <v>132</v>
      </c>
      <c r="B134" s="41" t="s">
        <v>161</v>
      </c>
      <c r="C134" s="34" t="s">
        <v>155</v>
      </c>
      <c r="D134" s="36"/>
      <c r="E134" s="28"/>
      <c r="F134" s="23"/>
      <c r="G134" s="24">
        <v>120</v>
      </c>
      <c r="H134" s="39"/>
      <c r="I134" s="39"/>
      <c r="J134" s="30"/>
      <c r="K134" s="16"/>
      <c r="L134" s="17"/>
      <c r="M134" s="16"/>
      <c r="N134" s="16"/>
      <c r="O134" s="16"/>
      <c r="P134" s="25"/>
      <c r="Q134" s="33"/>
      <c r="R134" s="23"/>
      <c r="S134" s="28"/>
      <c r="T134" s="34"/>
      <c r="U134" s="34"/>
    </row>
    <row r="135" spans="1:21" ht="18.75" customHeight="1">
      <c r="A135" s="11">
        <v>133</v>
      </c>
      <c r="B135" s="41" t="s">
        <v>162</v>
      </c>
      <c r="C135" s="34" t="s">
        <v>155</v>
      </c>
      <c r="D135" s="36"/>
      <c r="E135" s="28"/>
      <c r="F135" s="23"/>
      <c r="G135" s="24">
        <v>72</v>
      </c>
      <c r="H135" s="39"/>
      <c r="I135" s="39"/>
      <c r="J135" s="30">
        <v>1.5</v>
      </c>
      <c r="K135" s="16">
        <f t="shared" si="12"/>
        <v>12</v>
      </c>
      <c r="L135" s="17">
        <v>2</v>
      </c>
      <c r="M135" s="16">
        <f t="shared" si="13"/>
        <v>24</v>
      </c>
      <c r="N135" s="16">
        <f t="shared" si="14"/>
        <v>8</v>
      </c>
      <c r="O135" s="16">
        <f t="shared" si="15"/>
        <v>44</v>
      </c>
      <c r="P135" s="25"/>
      <c r="Q135" s="33"/>
      <c r="R135" s="23"/>
      <c r="S135" s="28"/>
      <c r="T135" s="34"/>
      <c r="U135" s="34"/>
    </row>
    <row r="136" spans="1:21" ht="18.75" customHeight="1">
      <c r="A136" s="11">
        <v>134</v>
      </c>
      <c r="B136" s="41" t="s">
        <v>163</v>
      </c>
      <c r="C136" s="34" t="s">
        <v>155</v>
      </c>
      <c r="D136" s="36"/>
      <c r="E136" s="28"/>
      <c r="F136" s="23"/>
      <c r="G136" s="24">
        <v>120</v>
      </c>
      <c r="H136" s="39"/>
      <c r="I136" s="39"/>
      <c r="J136" s="30"/>
      <c r="K136" s="16"/>
      <c r="L136" s="17"/>
      <c r="M136" s="16"/>
      <c r="N136" s="16"/>
      <c r="O136" s="16"/>
      <c r="P136" s="25"/>
      <c r="Q136" s="33"/>
      <c r="R136" s="23"/>
      <c r="S136" s="28"/>
      <c r="T136" s="34"/>
      <c r="U136" s="34"/>
    </row>
    <row r="137" spans="1:21" ht="18.75" customHeight="1">
      <c r="A137" s="11">
        <v>135</v>
      </c>
      <c r="B137" s="41" t="s">
        <v>164</v>
      </c>
      <c r="C137" s="34" t="s">
        <v>155</v>
      </c>
      <c r="D137" s="36"/>
      <c r="E137" s="28"/>
      <c r="F137" s="23"/>
      <c r="G137" s="24">
        <v>120</v>
      </c>
      <c r="H137" s="39"/>
      <c r="I137" s="39"/>
      <c r="J137" s="30"/>
      <c r="K137" s="16"/>
      <c r="L137" s="17"/>
      <c r="M137" s="16"/>
      <c r="N137" s="16"/>
      <c r="O137" s="16"/>
      <c r="P137" s="25"/>
      <c r="Q137" s="33"/>
      <c r="R137" s="23"/>
      <c r="S137" s="28"/>
      <c r="T137" s="34"/>
      <c r="U137" s="34"/>
    </row>
    <row r="138" spans="1:21" ht="18.75" customHeight="1">
      <c r="A138" s="11">
        <v>136</v>
      </c>
      <c r="B138" s="41" t="s">
        <v>165</v>
      </c>
      <c r="C138" s="34" t="s">
        <v>155</v>
      </c>
      <c r="D138" s="36"/>
      <c r="E138" s="28"/>
      <c r="F138" s="23"/>
      <c r="G138" s="24">
        <v>80</v>
      </c>
      <c r="H138" s="39"/>
      <c r="I138" s="39"/>
      <c r="J138" s="30">
        <v>1</v>
      </c>
      <c r="K138" s="16">
        <f t="shared" si="12"/>
        <v>8</v>
      </c>
      <c r="L138" s="17"/>
      <c r="M138" s="16"/>
      <c r="N138" s="16"/>
      <c r="O138" s="16">
        <f t="shared" si="15"/>
        <v>8</v>
      </c>
      <c r="P138" s="25"/>
      <c r="Q138" s="33"/>
      <c r="R138" s="23"/>
      <c r="S138" s="28"/>
      <c r="T138" s="34"/>
      <c r="U138" s="34"/>
    </row>
    <row r="139" spans="1:21" ht="18.75" customHeight="1">
      <c r="A139" s="11">
        <v>137</v>
      </c>
      <c r="B139" s="42" t="s">
        <v>166</v>
      </c>
      <c r="C139" s="34" t="s">
        <v>155</v>
      </c>
      <c r="D139" s="12"/>
      <c r="E139" s="28"/>
      <c r="F139" s="23"/>
      <c r="G139" s="24">
        <v>80</v>
      </c>
      <c r="H139" s="39"/>
      <c r="I139" s="39"/>
      <c r="J139" s="30">
        <v>1</v>
      </c>
      <c r="K139" s="16">
        <f t="shared" si="12"/>
        <v>8</v>
      </c>
      <c r="L139" s="17"/>
      <c r="M139" s="16"/>
      <c r="N139" s="16"/>
      <c r="O139" s="16">
        <f t="shared" si="15"/>
        <v>8</v>
      </c>
      <c r="P139" s="25"/>
      <c r="Q139" s="33"/>
      <c r="R139" s="23"/>
      <c r="S139" s="28"/>
      <c r="T139" s="34"/>
      <c r="U139" s="34"/>
    </row>
    <row r="140" spans="1:21" ht="18.75" customHeight="1">
      <c r="A140" s="11">
        <v>138</v>
      </c>
      <c r="B140" s="42" t="s">
        <v>167</v>
      </c>
      <c r="C140" s="34" t="s">
        <v>155</v>
      </c>
      <c r="D140" s="12"/>
      <c r="E140" s="28"/>
      <c r="F140" s="23"/>
      <c r="G140" s="24">
        <v>120</v>
      </c>
      <c r="H140" s="39"/>
      <c r="I140" s="39"/>
      <c r="J140" s="30"/>
      <c r="K140" s="16"/>
      <c r="L140" s="17"/>
      <c r="M140" s="16"/>
      <c r="N140" s="16"/>
      <c r="O140" s="16"/>
      <c r="P140" s="25"/>
      <c r="Q140" s="33"/>
      <c r="R140" s="23"/>
      <c r="S140" s="28"/>
      <c r="T140" s="34"/>
      <c r="U140" s="34"/>
    </row>
    <row r="141" spans="1:21" ht="18.75" customHeight="1">
      <c r="A141" s="11">
        <v>139</v>
      </c>
      <c r="B141" s="19" t="s">
        <v>168</v>
      </c>
      <c r="C141" s="34" t="s">
        <v>155</v>
      </c>
      <c r="D141" s="21"/>
      <c r="E141" s="28"/>
      <c r="F141" s="23"/>
      <c r="G141" s="24">
        <v>40</v>
      </c>
      <c r="H141" s="39"/>
      <c r="I141" s="39"/>
      <c r="J141" s="30"/>
      <c r="K141" s="16"/>
      <c r="L141" s="17"/>
      <c r="M141" s="16"/>
      <c r="N141" s="16"/>
      <c r="O141" s="16"/>
      <c r="P141" s="25">
        <v>14</v>
      </c>
      <c r="Q141" s="33"/>
      <c r="R141" s="23"/>
      <c r="S141" s="28">
        <v>38</v>
      </c>
      <c r="T141" s="34"/>
      <c r="U141" s="34"/>
    </row>
    <row r="142" spans="1:21" ht="18.75" customHeight="1">
      <c r="A142" s="11">
        <v>140</v>
      </c>
      <c r="B142" s="19" t="s">
        <v>169</v>
      </c>
      <c r="C142" s="34" t="s">
        <v>155</v>
      </c>
      <c r="D142" s="21"/>
      <c r="E142" s="28"/>
      <c r="F142" s="23"/>
      <c r="G142" s="24">
        <v>120</v>
      </c>
      <c r="H142" s="39"/>
      <c r="I142" s="39"/>
      <c r="J142" s="30"/>
      <c r="K142" s="16"/>
      <c r="L142" s="17"/>
      <c r="M142" s="16"/>
      <c r="N142" s="16"/>
      <c r="O142" s="16"/>
      <c r="P142" s="25"/>
      <c r="Q142" s="33"/>
      <c r="R142" s="23"/>
      <c r="S142" s="28"/>
      <c r="T142" s="34"/>
      <c r="U142" s="34"/>
    </row>
    <row r="143" spans="1:21" ht="18.75" customHeight="1">
      <c r="A143" s="11">
        <v>141</v>
      </c>
      <c r="B143" s="42" t="s">
        <v>170</v>
      </c>
      <c r="C143" s="34" t="s">
        <v>155</v>
      </c>
      <c r="D143" s="21"/>
      <c r="E143" s="28"/>
      <c r="F143" s="23"/>
      <c r="G143" s="24">
        <v>72</v>
      </c>
      <c r="H143" s="39"/>
      <c r="I143" s="39"/>
      <c r="J143" s="30"/>
      <c r="K143" s="16"/>
      <c r="L143" s="17"/>
      <c r="M143" s="16"/>
      <c r="N143" s="16"/>
      <c r="O143" s="16"/>
      <c r="P143" s="25"/>
      <c r="Q143" s="33"/>
      <c r="R143" s="23"/>
      <c r="S143" s="28"/>
      <c r="T143" s="34"/>
      <c r="U143" s="34"/>
    </row>
    <row r="144" spans="1:21" s="1" customFormat="1" ht="18.75" customHeight="1">
      <c r="A144" s="11">
        <v>142</v>
      </c>
      <c r="B144" s="42" t="s">
        <v>171</v>
      </c>
      <c r="C144" s="34" t="s">
        <v>155</v>
      </c>
      <c r="D144" s="21"/>
      <c r="E144" s="28"/>
      <c r="F144" s="23"/>
      <c r="G144" s="24">
        <v>120</v>
      </c>
      <c r="H144" s="39"/>
      <c r="I144" s="39"/>
      <c r="J144" s="30"/>
      <c r="K144" s="16"/>
      <c r="L144" s="17"/>
      <c r="M144" s="16"/>
      <c r="N144" s="16"/>
      <c r="O144" s="16"/>
      <c r="P144" s="25"/>
      <c r="Q144" s="33"/>
      <c r="R144" s="23"/>
      <c r="S144" s="28"/>
      <c r="T144" s="34"/>
      <c r="U144" s="34"/>
    </row>
    <row r="145" spans="1:21" ht="18.75" customHeight="1">
      <c r="A145" s="11">
        <v>143</v>
      </c>
      <c r="B145" s="42" t="s">
        <v>172</v>
      </c>
      <c r="C145" s="34" t="s">
        <v>155</v>
      </c>
      <c r="D145" s="12"/>
      <c r="E145" s="28"/>
      <c r="F145" s="23"/>
      <c r="G145" s="24">
        <v>72</v>
      </c>
      <c r="H145" s="39"/>
      <c r="I145" s="39"/>
      <c r="J145" s="30">
        <v>1</v>
      </c>
      <c r="K145" s="16">
        <f>J145*8</f>
        <v>8</v>
      </c>
      <c r="L145" s="17"/>
      <c r="M145" s="16"/>
      <c r="N145" s="16"/>
      <c r="O145" s="16">
        <f>N145+M145+K145</f>
        <v>8</v>
      </c>
      <c r="P145" s="25"/>
      <c r="Q145" s="33"/>
      <c r="R145" s="23"/>
      <c r="S145" s="28"/>
      <c r="T145" s="34"/>
      <c r="U145" s="34"/>
    </row>
    <row r="146" spans="1:21" ht="18.75" customHeight="1">
      <c r="A146" s="11">
        <v>144</v>
      </c>
      <c r="B146" s="19" t="s">
        <v>173</v>
      </c>
      <c r="C146" s="34" t="s">
        <v>155</v>
      </c>
      <c r="D146" s="21"/>
      <c r="E146" s="28"/>
      <c r="F146" s="23"/>
      <c r="G146" s="24">
        <v>112</v>
      </c>
      <c r="H146" s="39"/>
      <c r="I146" s="39"/>
      <c r="J146" s="30"/>
      <c r="K146" s="16"/>
      <c r="L146" s="17"/>
      <c r="M146" s="16"/>
      <c r="N146" s="16"/>
      <c r="O146" s="16"/>
      <c r="P146" s="25"/>
      <c r="Q146" s="33"/>
      <c r="R146" s="23"/>
      <c r="S146" s="28"/>
      <c r="T146" s="34"/>
      <c r="U146" s="34"/>
    </row>
    <row r="147" spans="1:21" s="1" customFormat="1" ht="18.75" customHeight="1">
      <c r="A147" s="11">
        <v>145</v>
      </c>
      <c r="B147" s="42" t="s">
        <v>174</v>
      </c>
      <c r="C147" s="34" t="s">
        <v>155</v>
      </c>
      <c r="D147" s="21"/>
      <c r="E147" s="28"/>
      <c r="F147" s="23"/>
      <c r="G147" s="24">
        <v>120</v>
      </c>
      <c r="H147" s="39"/>
      <c r="I147" s="39"/>
      <c r="J147" s="30"/>
      <c r="K147" s="16"/>
      <c r="L147" s="17"/>
      <c r="M147" s="16"/>
      <c r="N147" s="16"/>
      <c r="O147" s="16"/>
      <c r="P147" s="25"/>
      <c r="Q147" s="33"/>
      <c r="R147" s="23"/>
      <c r="S147" s="28"/>
      <c r="T147" s="34"/>
      <c r="U147" s="34"/>
    </row>
    <row r="148" spans="1:21" s="1" customFormat="1" ht="18.75" customHeight="1">
      <c r="A148" s="11">
        <v>146</v>
      </c>
      <c r="B148" s="42" t="s">
        <v>175</v>
      </c>
      <c r="C148" s="34" t="s">
        <v>155</v>
      </c>
      <c r="D148" s="21"/>
      <c r="E148" s="28"/>
      <c r="F148" s="23"/>
      <c r="G148" s="24">
        <v>112</v>
      </c>
      <c r="H148" s="39"/>
      <c r="I148" s="39"/>
      <c r="J148" s="30"/>
      <c r="K148" s="16"/>
      <c r="L148" s="17"/>
      <c r="M148" s="16"/>
      <c r="N148" s="16"/>
      <c r="O148" s="16"/>
      <c r="P148" s="25"/>
      <c r="Q148" s="33"/>
      <c r="R148" s="23"/>
      <c r="S148" s="28"/>
      <c r="T148" s="34"/>
      <c r="U148" s="34"/>
    </row>
    <row r="149" spans="1:21" s="1" customFormat="1" ht="18.75" customHeight="1">
      <c r="A149" s="11">
        <v>147</v>
      </c>
      <c r="B149" s="42" t="s">
        <v>176</v>
      </c>
      <c r="C149" s="34" t="s">
        <v>155</v>
      </c>
      <c r="D149" s="21" t="s">
        <v>449</v>
      </c>
      <c r="E149" s="28"/>
      <c r="F149" s="23">
        <v>57</v>
      </c>
      <c r="G149" s="24">
        <v>63</v>
      </c>
      <c r="H149" s="39"/>
      <c r="I149" s="39"/>
      <c r="J149" s="30"/>
      <c r="K149" s="16"/>
      <c r="L149" s="17"/>
      <c r="M149" s="16"/>
      <c r="N149" s="16"/>
      <c r="O149" s="16"/>
      <c r="P149" s="25"/>
      <c r="Q149" s="33"/>
      <c r="R149" s="23"/>
      <c r="S149" s="28"/>
      <c r="T149" s="34"/>
      <c r="U149" s="34"/>
    </row>
    <row r="150" spans="1:21" s="1" customFormat="1" ht="18.75" customHeight="1">
      <c r="A150" s="11">
        <v>148</v>
      </c>
      <c r="B150" s="32" t="s">
        <v>177</v>
      </c>
      <c r="C150" s="34" t="s">
        <v>155</v>
      </c>
      <c r="D150" s="36"/>
      <c r="E150" s="28"/>
      <c r="F150" s="23"/>
      <c r="G150" s="24">
        <v>120</v>
      </c>
      <c r="H150" s="39"/>
      <c r="I150" s="39"/>
      <c r="J150" s="30"/>
      <c r="K150" s="16"/>
      <c r="L150" s="17"/>
      <c r="M150" s="16"/>
      <c r="N150" s="16"/>
      <c r="O150" s="16"/>
      <c r="P150" s="25"/>
      <c r="Q150" s="33"/>
      <c r="R150" s="23"/>
      <c r="S150" s="28"/>
      <c r="T150" s="34"/>
      <c r="U150" s="34"/>
    </row>
    <row r="151" spans="1:21" s="1" customFormat="1" ht="18.75" customHeight="1">
      <c r="A151" s="11">
        <v>149</v>
      </c>
      <c r="B151" s="42" t="s">
        <v>178</v>
      </c>
      <c r="C151" s="34" t="s">
        <v>155</v>
      </c>
      <c r="D151" s="21"/>
      <c r="E151" s="28"/>
      <c r="F151" s="23"/>
      <c r="G151" s="24">
        <v>120</v>
      </c>
      <c r="H151" s="39"/>
      <c r="I151" s="39"/>
      <c r="J151" s="30"/>
      <c r="K151" s="16"/>
      <c r="L151" s="17"/>
      <c r="M151" s="16"/>
      <c r="N151" s="16"/>
      <c r="O151" s="16"/>
      <c r="P151" s="25"/>
      <c r="Q151" s="33"/>
      <c r="R151" s="23"/>
      <c r="S151" s="28"/>
      <c r="T151" s="34"/>
      <c r="U151" s="34"/>
    </row>
    <row r="152" spans="1:21" s="1" customFormat="1" ht="18.75" customHeight="1">
      <c r="A152" s="11">
        <v>150</v>
      </c>
      <c r="B152" s="42" t="s">
        <v>179</v>
      </c>
      <c r="C152" s="34" t="s">
        <v>155</v>
      </c>
      <c r="D152" s="21" t="s">
        <v>449</v>
      </c>
      <c r="E152" s="28"/>
      <c r="F152" s="23">
        <v>92</v>
      </c>
      <c r="G152" s="24">
        <v>28</v>
      </c>
      <c r="H152" s="39"/>
      <c r="I152" s="39"/>
      <c r="J152" s="30"/>
      <c r="K152" s="16"/>
      <c r="L152" s="17"/>
      <c r="M152" s="16"/>
      <c r="N152" s="16"/>
      <c r="O152" s="16"/>
      <c r="P152" s="25"/>
      <c r="Q152" s="33"/>
      <c r="R152" s="23"/>
      <c r="S152" s="28"/>
      <c r="T152" s="34"/>
      <c r="U152" s="34"/>
    </row>
    <row r="153" spans="1:21" s="1" customFormat="1" ht="18.75" customHeight="1">
      <c r="A153" s="11">
        <v>151</v>
      </c>
      <c r="B153" s="42" t="s">
        <v>180</v>
      </c>
      <c r="C153" s="34" t="s">
        <v>155</v>
      </c>
      <c r="D153" s="21"/>
      <c r="E153" s="28"/>
      <c r="F153" s="23"/>
      <c r="G153" s="24"/>
      <c r="H153" s="39"/>
      <c r="I153" s="39"/>
      <c r="J153" s="30"/>
      <c r="K153" s="16"/>
      <c r="L153" s="17"/>
      <c r="M153" s="16"/>
      <c r="N153" s="16"/>
      <c r="O153" s="16"/>
      <c r="P153" s="25">
        <v>30</v>
      </c>
      <c r="Q153" s="33"/>
      <c r="R153" s="23"/>
      <c r="S153" s="28">
        <v>43</v>
      </c>
      <c r="T153" s="34"/>
      <c r="U153" s="34"/>
    </row>
    <row r="154" spans="1:21" s="1" customFormat="1" ht="18.75" customHeight="1">
      <c r="A154" s="11">
        <v>152</v>
      </c>
      <c r="B154" s="42" t="s">
        <v>181</v>
      </c>
      <c r="C154" s="34" t="s">
        <v>155</v>
      </c>
      <c r="D154" s="90" t="s">
        <v>463</v>
      </c>
      <c r="E154" s="28"/>
      <c r="F154" s="23"/>
      <c r="G154" s="24">
        <v>120</v>
      </c>
      <c r="H154" s="39"/>
      <c r="I154" s="39"/>
      <c r="J154" s="30"/>
      <c r="K154" s="16"/>
      <c r="L154" s="17"/>
      <c r="M154" s="16"/>
      <c r="N154" s="16"/>
      <c r="O154" s="16"/>
      <c r="P154" s="25"/>
      <c r="Q154" s="33"/>
      <c r="R154" s="23"/>
      <c r="S154" s="28"/>
      <c r="T154" s="34"/>
      <c r="U154" s="34"/>
    </row>
    <row r="155" spans="1:21" s="1" customFormat="1" ht="18.75" customHeight="1">
      <c r="A155" s="11">
        <v>153</v>
      </c>
      <c r="B155" s="42" t="s">
        <v>182</v>
      </c>
      <c r="C155" s="34" t="s">
        <v>155</v>
      </c>
      <c r="D155" s="21" t="s">
        <v>452</v>
      </c>
      <c r="E155" s="28"/>
      <c r="F155" s="23"/>
      <c r="G155" s="24">
        <v>120</v>
      </c>
      <c r="H155" s="39"/>
      <c r="I155" s="39"/>
      <c r="J155" s="30"/>
      <c r="K155" s="16"/>
      <c r="L155" s="17"/>
      <c r="M155" s="16"/>
      <c r="N155" s="16"/>
      <c r="O155" s="16"/>
      <c r="P155" s="25"/>
      <c r="Q155" s="33"/>
      <c r="R155" s="23"/>
      <c r="S155" s="28"/>
      <c r="T155" s="34"/>
      <c r="U155" s="34"/>
    </row>
    <row r="156" spans="1:21" s="1" customFormat="1" ht="18.75" customHeight="1">
      <c r="A156" s="11">
        <v>154</v>
      </c>
      <c r="B156" s="42" t="s">
        <v>183</v>
      </c>
      <c r="C156" s="34" t="s">
        <v>155</v>
      </c>
      <c r="D156" s="21"/>
      <c r="E156" s="28"/>
      <c r="F156" s="23"/>
      <c r="G156" s="24">
        <v>64</v>
      </c>
      <c r="H156" s="39"/>
      <c r="I156" s="39"/>
      <c r="J156" s="30"/>
      <c r="K156" s="16"/>
      <c r="L156" s="17"/>
      <c r="M156" s="16"/>
      <c r="N156" s="16"/>
      <c r="O156" s="16"/>
      <c r="P156" s="25"/>
      <c r="Q156" s="33">
        <v>30</v>
      </c>
      <c r="R156" s="23"/>
      <c r="S156" s="28">
        <v>10</v>
      </c>
      <c r="T156" s="34"/>
      <c r="U156" s="34"/>
    </row>
    <row r="157" spans="1:21" s="1" customFormat="1" ht="18.75" customHeight="1">
      <c r="A157" s="11">
        <v>155</v>
      </c>
      <c r="B157" s="42" t="s">
        <v>184</v>
      </c>
      <c r="C157" s="34" t="s">
        <v>155</v>
      </c>
      <c r="D157" s="21"/>
      <c r="E157" s="28"/>
      <c r="F157" s="23"/>
      <c r="G157" s="24">
        <v>120</v>
      </c>
      <c r="H157" s="39"/>
      <c r="I157" s="39"/>
      <c r="J157" s="30"/>
      <c r="K157" s="16"/>
      <c r="L157" s="17"/>
      <c r="M157" s="16"/>
      <c r="N157" s="16"/>
      <c r="O157" s="16"/>
      <c r="P157" s="25"/>
      <c r="Q157" s="33"/>
      <c r="R157" s="23"/>
      <c r="S157" s="28"/>
      <c r="T157" s="34"/>
      <c r="U157" s="34"/>
    </row>
    <row r="158" spans="1:21" s="1" customFormat="1" ht="18.75" customHeight="1">
      <c r="A158" s="11">
        <v>156</v>
      </c>
      <c r="B158" s="42" t="s">
        <v>185</v>
      </c>
      <c r="C158" s="34" t="s">
        <v>155</v>
      </c>
      <c r="D158" s="21"/>
      <c r="E158" s="28"/>
      <c r="F158" s="23"/>
      <c r="G158" s="24"/>
      <c r="H158" s="39"/>
      <c r="I158" s="39"/>
      <c r="J158" s="30"/>
      <c r="K158" s="16"/>
      <c r="L158" s="17"/>
      <c r="M158" s="16"/>
      <c r="N158" s="16"/>
      <c r="O158" s="16"/>
      <c r="P158" s="25">
        <v>28</v>
      </c>
      <c r="Q158" s="33"/>
      <c r="R158" s="23"/>
      <c r="S158" s="28">
        <v>42</v>
      </c>
      <c r="T158" s="34"/>
      <c r="U158" s="34"/>
    </row>
    <row r="159" spans="1:21" s="1" customFormat="1" ht="18.75" customHeight="1">
      <c r="A159" s="11">
        <v>157</v>
      </c>
      <c r="B159" s="42" t="s">
        <v>186</v>
      </c>
      <c r="C159" s="34" t="s">
        <v>155</v>
      </c>
      <c r="D159" s="21"/>
      <c r="E159" s="28"/>
      <c r="F159" s="23"/>
      <c r="G159" s="24">
        <v>120</v>
      </c>
      <c r="H159" s="39"/>
      <c r="I159" s="39"/>
      <c r="J159" s="30"/>
      <c r="K159" s="16"/>
      <c r="L159" s="17"/>
      <c r="M159" s="16"/>
      <c r="N159" s="16"/>
      <c r="O159" s="16"/>
      <c r="P159" s="25"/>
      <c r="Q159" s="33"/>
      <c r="R159" s="23"/>
      <c r="S159" s="28"/>
      <c r="T159" s="34"/>
      <c r="U159" s="34"/>
    </row>
    <row r="160" spans="1:21" s="1" customFormat="1" ht="18.75" customHeight="1">
      <c r="A160" s="11">
        <v>158</v>
      </c>
      <c r="B160" s="42" t="s">
        <v>187</v>
      </c>
      <c r="C160" s="34" t="s">
        <v>155</v>
      </c>
      <c r="D160" s="21"/>
      <c r="E160" s="28"/>
      <c r="F160" s="23"/>
      <c r="G160" s="24">
        <v>120</v>
      </c>
      <c r="H160" s="39"/>
      <c r="I160" s="39"/>
      <c r="J160" s="30"/>
      <c r="K160" s="16"/>
      <c r="L160" s="17"/>
      <c r="M160" s="16"/>
      <c r="N160" s="16"/>
      <c r="O160" s="16"/>
      <c r="P160" s="25"/>
      <c r="Q160" s="33"/>
      <c r="R160" s="23"/>
      <c r="S160" s="28"/>
      <c r="T160" s="34"/>
      <c r="U160" s="34"/>
    </row>
    <row r="161" spans="1:21" s="1" customFormat="1" ht="18.75" customHeight="1">
      <c r="A161" s="11">
        <v>159</v>
      </c>
      <c r="B161" s="42" t="s">
        <v>188</v>
      </c>
      <c r="C161" s="34" t="s">
        <v>155</v>
      </c>
      <c r="D161" s="21"/>
      <c r="E161" s="28"/>
      <c r="F161" s="23"/>
      <c r="G161" s="24">
        <v>72</v>
      </c>
      <c r="H161" s="39"/>
      <c r="I161" s="39"/>
      <c r="J161" s="30">
        <v>1</v>
      </c>
      <c r="K161" s="16">
        <f>J161*8</f>
        <v>8</v>
      </c>
      <c r="L161" s="17"/>
      <c r="M161" s="16"/>
      <c r="N161" s="16"/>
      <c r="O161" s="16">
        <f>N161+M161+K161</f>
        <v>8</v>
      </c>
      <c r="P161" s="25"/>
      <c r="Q161" s="33"/>
      <c r="R161" s="23"/>
      <c r="S161" s="28"/>
      <c r="T161" s="34"/>
      <c r="U161" s="34"/>
    </row>
    <row r="162" spans="1:21" s="1" customFormat="1" ht="18.75" customHeight="1">
      <c r="A162" s="11">
        <v>160</v>
      </c>
      <c r="B162" s="42" t="s">
        <v>189</v>
      </c>
      <c r="C162" s="34" t="s">
        <v>155</v>
      </c>
      <c r="D162" s="21"/>
      <c r="E162" s="28"/>
      <c r="F162" s="23"/>
      <c r="G162" s="24">
        <v>88</v>
      </c>
      <c r="H162" s="39"/>
      <c r="I162" s="39"/>
      <c r="J162" s="30">
        <v>1</v>
      </c>
      <c r="K162" s="16">
        <f>J162*8</f>
        <v>8</v>
      </c>
      <c r="L162" s="17"/>
      <c r="M162" s="16"/>
      <c r="N162" s="16"/>
      <c r="O162" s="16">
        <f>N162+M162+K162</f>
        <v>8</v>
      </c>
      <c r="P162" s="25"/>
      <c r="Q162" s="33"/>
      <c r="R162" s="23"/>
      <c r="S162" s="28"/>
      <c r="T162" s="34"/>
      <c r="U162" s="34"/>
    </row>
    <row r="163" spans="1:21" s="1" customFormat="1" ht="18.75" customHeight="1">
      <c r="A163" s="11">
        <v>161</v>
      </c>
      <c r="B163" s="42" t="s">
        <v>190</v>
      </c>
      <c r="C163" s="34" t="s">
        <v>155</v>
      </c>
      <c r="D163" s="21"/>
      <c r="E163" s="28"/>
      <c r="F163" s="23"/>
      <c r="G163" s="24"/>
      <c r="H163" s="39"/>
      <c r="I163" s="39"/>
      <c r="J163" s="30"/>
      <c r="K163" s="16"/>
      <c r="L163" s="17"/>
      <c r="M163" s="16"/>
      <c r="N163" s="16"/>
      <c r="O163" s="16"/>
      <c r="P163" s="25"/>
      <c r="Q163" s="33"/>
      <c r="R163" s="23"/>
      <c r="S163" s="28"/>
      <c r="T163" s="34"/>
      <c r="U163" s="34"/>
    </row>
    <row r="164" spans="1:21" s="1" customFormat="1" ht="18.75" customHeight="1">
      <c r="A164" s="11">
        <v>162</v>
      </c>
      <c r="B164" s="45" t="s">
        <v>191</v>
      </c>
      <c r="C164" s="34" t="s">
        <v>155</v>
      </c>
      <c r="D164" s="79" t="s">
        <v>458</v>
      </c>
      <c r="E164" s="28"/>
      <c r="F164" s="23"/>
      <c r="G164" s="24"/>
      <c r="H164" s="39"/>
      <c r="I164" s="39"/>
      <c r="J164" s="30">
        <v>1</v>
      </c>
      <c r="K164" s="16">
        <f>J164*8</f>
        <v>8</v>
      </c>
      <c r="L164" s="17"/>
      <c r="M164" s="16"/>
      <c r="N164" s="16"/>
      <c r="O164" s="16">
        <f>N164+M164+K164</f>
        <v>8</v>
      </c>
      <c r="P164" s="25"/>
      <c r="Q164" s="33"/>
      <c r="R164" s="23"/>
      <c r="S164" s="28"/>
      <c r="T164" s="34"/>
      <c r="U164" s="34"/>
    </row>
    <row r="165" spans="1:21" s="1" customFormat="1" ht="18.75" customHeight="1">
      <c r="A165" s="11">
        <v>163</v>
      </c>
      <c r="B165" s="45" t="s">
        <v>192</v>
      </c>
      <c r="C165" s="34" t="s">
        <v>155</v>
      </c>
      <c r="D165" s="79" t="s">
        <v>457</v>
      </c>
      <c r="E165" s="28"/>
      <c r="F165" s="23"/>
      <c r="G165" s="24"/>
      <c r="H165" s="39"/>
      <c r="I165" s="39"/>
      <c r="J165" s="30"/>
      <c r="K165" s="16"/>
      <c r="L165" s="17"/>
      <c r="M165" s="16"/>
      <c r="N165" s="16"/>
      <c r="O165" s="16"/>
      <c r="P165" s="25"/>
      <c r="Q165" s="33"/>
      <c r="R165" s="23"/>
      <c r="S165" s="28"/>
      <c r="T165" s="34"/>
      <c r="U165" s="34"/>
    </row>
    <row r="166" spans="1:21" s="1" customFormat="1" ht="18.75" customHeight="1">
      <c r="A166" s="11">
        <v>164</v>
      </c>
      <c r="B166" s="45" t="s">
        <v>193</v>
      </c>
      <c r="C166" s="34" t="s">
        <v>155</v>
      </c>
      <c r="D166" s="79"/>
      <c r="E166" s="28"/>
      <c r="F166" s="23"/>
      <c r="G166" s="24">
        <v>40</v>
      </c>
      <c r="H166" s="39"/>
      <c r="I166" s="39"/>
      <c r="J166" s="30"/>
      <c r="K166" s="16"/>
      <c r="L166" s="17"/>
      <c r="M166" s="16"/>
      <c r="N166" s="16"/>
      <c r="O166" s="16"/>
      <c r="P166" s="25">
        <v>28</v>
      </c>
      <c r="Q166" s="33"/>
      <c r="R166" s="23"/>
      <c r="S166" s="28">
        <v>52</v>
      </c>
      <c r="T166" s="34"/>
      <c r="U166" s="34"/>
    </row>
    <row r="167" spans="1:21" s="1" customFormat="1" ht="18.75" customHeight="1">
      <c r="A167" s="11">
        <v>165</v>
      </c>
      <c r="B167" s="45" t="s">
        <v>448</v>
      </c>
      <c r="C167" s="34" t="s">
        <v>155</v>
      </c>
      <c r="D167" s="79" t="s">
        <v>453</v>
      </c>
      <c r="E167" s="28"/>
      <c r="F167" s="23"/>
      <c r="G167" s="24"/>
      <c r="H167" s="39"/>
      <c r="I167" s="39"/>
      <c r="J167" s="30">
        <v>2</v>
      </c>
      <c r="K167" s="16">
        <f>J167*8</f>
        <v>16</v>
      </c>
      <c r="L167" s="17">
        <v>4</v>
      </c>
      <c r="M167" s="16">
        <f t="shared" ref="M167" si="16">L167*12</f>
        <v>48</v>
      </c>
      <c r="N167" s="16">
        <f t="shared" ref="N167" si="17">L167*4</f>
        <v>16</v>
      </c>
      <c r="O167" s="16">
        <f>N167+M167+K167</f>
        <v>80</v>
      </c>
      <c r="P167" s="25"/>
      <c r="Q167" s="33"/>
      <c r="R167" s="23"/>
      <c r="S167" s="28"/>
      <c r="T167" s="34"/>
      <c r="U167" s="34"/>
    </row>
    <row r="168" spans="1:21" ht="18.75" customHeight="1">
      <c r="A168" s="11">
        <v>166</v>
      </c>
      <c r="B168" s="41" t="s">
        <v>194</v>
      </c>
      <c r="C168" s="34" t="s">
        <v>195</v>
      </c>
      <c r="D168" s="36"/>
      <c r="E168" s="28"/>
      <c r="F168" s="23"/>
      <c r="G168" s="24">
        <v>120</v>
      </c>
      <c r="H168" s="39"/>
      <c r="I168" s="39"/>
      <c r="J168" s="30"/>
      <c r="K168" s="16"/>
      <c r="L168" s="17"/>
      <c r="M168" s="16"/>
      <c r="N168" s="16"/>
      <c r="O168" s="16"/>
      <c r="P168" s="25"/>
      <c r="Q168" s="33"/>
      <c r="R168" s="23"/>
      <c r="S168" s="28"/>
      <c r="T168" s="34"/>
      <c r="U168" s="34"/>
    </row>
    <row r="169" spans="1:21" ht="18.75" customHeight="1">
      <c r="A169" s="11">
        <v>167</v>
      </c>
      <c r="B169" s="41" t="s">
        <v>196</v>
      </c>
      <c r="C169" s="34" t="s">
        <v>195</v>
      </c>
      <c r="D169" s="36"/>
      <c r="E169" s="28"/>
      <c r="F169" s="23"/>
      <c r="G169" s="24">
        <v>40</v>
      </c>
      <c r="H169" s="39"/>
      <c r="I169" s="39"/>
      <c r="J169" s="30"/>
      <c r="K169" s="16"/>
      <c r="L169" s="17"/>
      <c r="M169" s="16"/>
      <c r="N169" s="16"/>
      <c r="O169" s="16"/>
      <c r="P169" s="25"/>
      <c r="Q169" s="33"/>
      <c r="R169" s="23"/>
      <c r="S169" s="28"/>
      <c r="T169" s="34"/>
      <c r="U169" s="34"/>
    </row>
    <row r="170" spans="1:21" ht="18.75" customHeight="1">
      <c r="A170" s="11">
        <v>168</v>
      </c>
      <c r="B170" s="41" t="s">
        <v>197</v>
      </c>
      <c r="C170" s="34" t="s">
        <v>195</v>
      </c>
      <c r="D170" s="36"/>
      <c r="E170" s="28"/>
      <c r="F170" s="23"/>
      <c r="G170" s="24">
        <v>40</v>
      </c>
      <c r="H170" s="39"/>
      <c r="I170" s="39"/>
      <c r="J170" s="30"/>
      <c r="K170" s="16"/>
      <c r="L170" s="17"/>
      <c r="M170" s="16"/>
      <c r="N170" s="16"/>
      <c r="O170" s="16"/>
      <c r="P170" s="25"/>
      <c r="Q170" s="33"/>
      <c r="R170" s="23"/>
      <c r="S170" s="28"/>
      <c r="T170" s="34"/>
      <c r="U170" s="34"/>
    </row>
    <row r="171" spans="1:21" ht="18.75" customHeight="1">
      <c r="A171" s="11">
        <v>169</v>
      </c>
      <c r="B171" s="41" t="s">
        <v>198</v>
      </c>
      <c r="C171" s="34" t="s">
        <v>195</v>
      </c>
      <c r="D171" s="36"/>
      <c r="E171" s="28"/>
      <c r="F171" s="23"/>
      <c r="G171" s="24">
        <v>112</v>
      </c>
      <c r="H171" s="39"/>
      <c r="I171" s="39"/>
      <c r="J171" s="30"/>
      <c r="K171" s="16"/>
      <c r="L171" s="17"/>
      <c r="M171" s="16"/>
      <c r="N171" s="16"/>
      <c r="O171" s="16"/>
      <c r="P171" s="25"/>
      <c r="Q171" s="33"/>
      <c r="R171" s="23"/>
      <c r="S171" s="28"/>
      <c r="T171" s="34"/>
      <c r="U171" s="34"/>
    </row>
    <row r="172" spans="1:21" ht="18.75" customHeight="1">
      <c r="A172" s="11">
        <v>170</v>
      </c>
      <c r="B172" s="41" t="s">
        <v>199</v>
      </c>
      <c r="C172" s="34" t="s">
        <v>195</v>
      </c>
      <c r="D172" s="36"/>
      <c r="E172" s="28"/>
      <c r="F172" s="23"/>
      <c r="G172" s="24">
        <v>120</v>
      </c>
      <c r="H172" s="39"/>
      <c r="I172" s="39"/>
      <c r="J172" s="30"/>
      <c r="K172" s="16"/>
      <c r="L172" s="17"/>
      <c r="M172" s="16"/>
      <c r="N172" s="16"/>
      <c r="O172" s="16"/>
      <c r="P172" s="25"/>
      <c r="Q172" s="33"/>
      <c r="R172" s="23"/>
      <c r="S172" s="28"/>
      <c r="T172" s="34"/>
      <c r="U172" s="34"/>
    </row>
    <row r="173" spans="1:21" ht="18.75" customHeight="1">
      <c r="A173" s="11">
        <v>171</v>
      </c>
      <c r="B173" s="41" t="s">
        <v>200</v>
      </c>
      <c r="C173" s="34" t="s">
        <v>195</v>
      </c>
      <c r="D173" s="36"/>
      <c r="E173" s="28"/>
      <c r="F173" s="23"/>
      <c r="G173" s="24">
        <v>120</v>
      </c>
      <c r="H173" s="39"/>
      <c r="I173" s="39"/>
      <c r="J173" s="30"/>
      <c r="K173" s="16"/>
      <c r="L173" s="17"/>
      <c r="M173" s="16"/>
      <c r="N173" s="16"/>
      <c r="O173" s="16"/>
      <c r="P173" s="25"/>
      <c r="Q173" s="33"/>
      <c r="R173" s="23"/>
      <c r="S173" s="28"/>
      <c r="T173" s="34"/>
      <c r="U173" s="34"/>
    </row>
    <row r="174" spans="1:21" ht="18.75" customHeight="1">
      <c r="A174" s="11">
        <v>172</v>
      </c>
      <c r="B174" s="41" t="s">
        <v>201</v>
      </c>
      <c r="C174" s="34" t="s">
        <v>202</v>
      </c>
      <c r="D174" s="36"/>
      <c r="E174" s="28"/>
      <c r="F174" s="23"/>
      <c r="G174" s="24"/>
      <c r="H174" s="39"/>
      <c r="I174" s="39"/>
      <c r="J174" s="30"/>
      <c r="K174" s="16"/>
      <c r="L174" s="17"/>
      <c r="M174" s="16"/>
      <c r="N174" s="16"/>
      <c r="O174" s="16"/>
      <c r="P174" s="25"/>
      <c r="Q174" s="33"/>
      <c r="R174" s="23"/>
      <c r="S174" s="28"/>
      <c r="T174" s="34"/>
      <c r="U174" s="34"/>
    </row>
    <row r="175" spans="1:21" ht="18.75" customHeight="1">
      <c r="A175" s="11">
        <v>173</v>
      </c>
      <c r="B175" s="41" t="s">
        <v>203</v>
      </c>
      <c r="C175" s="34" t="s">
        <v>202</v>
      </c>
      <c r="D175" s="36"/>
      <c r="E175" s="28"/>
      <c r="F175" s="23"/>
      <c r="G175" s="24"/>
      <c r="H175" s="39"/>
      <c r="I175" s="39"/>
      <c r="J175" s="30"/>
      <c r="K175" s="16"/>
      <c r="L175" s="17"/>
      <c r="M175" s="16"/>
      <c r="N175" s="16"/>
      <c r="O175" s="16"/>
      <c r="P175" s="25"/>
      <c r="Q175" s="33"/>
      <c r="R175" s="23"/>
      <c r="S175" s="28"/>
      <c r="T175" s="34"/>
      <c r="U175" s="34"/>
    </row>
    <row r="176" spans="1:21" ht="18.75" customHeight="1">
      <c r="A176" s="11">
        <v>174</v>
      </c>
      <c r="B176" s="41" t="s">
        <v>204</v>
      </c>
      <c r="C176" s="34" t="s">
        <v>205</v>
      </c>
      <c r="D176" s="36"/>
      <c r="E176" s="28"/>
      <c r="F176" s="23"/>
      <c r="G176" s="24">
        <v>120</v>
      </c>
      <c r="H176" s="39"/>
      <c r="I176" s="39"/>
      <c r="J176" s="30"/>
      <c r="K176" s="16"/>
      <c r="L176" s="17"/>
      <c r="M176" s="16"/>
      <c r="N176" s="16"/>
      <c r="O176" s="16"/>
      <c r="P176" s="25"/>
      <c r="Q176" s="33"/>
      <c r="R176" s="23"/>
      <c r="S176" s="28"/>
      <c r="T176" s="34"/>
      <c r="U176" s="34"/>
    </row>
    <row r="177" spans="1:21" ht="18.75" customHeight="1">
      <c r="A177" s="11">
        <v>175</v>
      </c>
      <c r="B177" s="41" t="s">
        <v>206</v>
      </c>
      <c r="C177" s="34" t="s">
        <v>205</v>
      </c>
      <c r="D177" s="36"/>
      <c r="E177" s="28"/>
      <c r="F177" s="23"/>
      <c r="G177" s="24">
        <v>88</v>
      </c>
      <c r="H177" s="39"/>
      <c r="I177" s="39"/>
      <c r="J177" s="30"/>
      <c r="K177" s="16"/>
      <c r="L177" s="17"/>
      <c r="M177" s="16"/>
      <c r="N177" s="16"/>
      <c r="O177" s="16"/>
      <c r="P177" s="25"/>
      <c r="Q177" s="33"/>
      <c r="R177" s="23"/>
      <c r="S177" s="28"/>
      <c r="T177" s="34"/>
      <c r="U177" s="34"/>
    </row>
    <row r="178" spans="1:21" ht="18.75" customHeight="1">
      <c r="A178" s="11">
        <v>176</v>
      </c>
      <c r="B178" s="41" t="s">
        <v>207</v>
      </c>
      <c r="C178" s="34" t="s">
        <v>205</v>
      </c>
      <c r="D178" s="36"/>
      <c r="E178" s="28"/>
      <c r="F178" s="23"/>
      <c r="G178" s="24">
        <v>88</v>
      </c>
      <c r="H178" s="39"/>
      <c r="I178" s="39"/>
      <c r="J178" s="30"/>
      <c r="K178" s="16"/>
      <c r="L178" s="17"/>
      <c r="M178" s="16"/>
      <c r="N178" s="16"/>
      <c r="O178" s="16"/>
      <c r="P178" s="25"/>
      <c r="Q178" s="33"/>
      <c r="R178" s="23"/>
      <c r="S178" s="28"/>
      <c r="T178" s="34"/>
      <c r="U178" s="34"/>
    </row>
    <row r="179" spans="1:21" ht="18.75" customHeight="1">
      <c r="A179" s="11">
        <v>177</v>
      </c>
      <c r="B179" s="48" t="s">
        <v>208</v>
      </c>
      <c r="C179" s="19" t="s">
        <v>205</v>
      </c>
      <c r="D179" s="36"/>
      <c r="E179" s="28"/>
      <c r="F179" s="23"/>
      <c r="G179" s="25">
        <v>120</v>
      </c>
      <c r="H179" s="23"/>
      <c r="I179" s="23"/>
      <c r="J179" s="30"/>
      <c r="K179" s="16"/>
      <c r="L179" s="17"/>
      <c r="M179" s="16"/>
      <c r="N179" s="16"/>
      <c r="O179" s="16"/>
      <c r="P179" s="25"/>
      <c r="Q179" s="33"/>
      <c r="R179" s="23"/>
      <c r="S179" s="28"/>
      <c r="T179" s="34"/>
      <c r="U179" s="34"/>
    </row>
    <row r="180" spans="1:21" ht="18.75" customHeight="1">
      <c r="A180" s="11">
        <v>178</v>
      </c>
      <c r="B180" s="48" t="s">
        <v>209</v>
      </c>
      <c r="C180" s="19" t="s">
        <v>205</v>
      </c>
      <c r="D180" s="36"/>
      <c r="E180" s="28"/>
      <c r="F180" s="23"/>
      <c r="G180" s="25">
        <v>120</v>
      </c>
      <c r="H180" s="23"/>
      <c r="I180" s="23"/>
      <c r="J180" s="30"/>
      <c r="K180" s="16"/>
      <c r="L180" s="17"/>
      <c r="M180" s="16"/>
      <c r="N180" s="16"/>
      <c r="O180" s="16"/>
      <c r="P180" s="25"/>
      <c r="Q180" s="33"/>
      <c r="R180" s="23"/>
      <c r="S180" s="28"/>
      <c r="T180" s="34"/>
      <c r="U180" s="34"/>
    </row>
    <row r="181" spans="1:21" ht="18.75" customHeight="1">
      <c r="A181" s="11">
        <v>179</v>
      </c>
      <c r="B181" s="48" t="s">
        <v>210</v>
      </c>
      <c r="C181" s="19" t="s">
        <v>205</v>
      </c>
      <c r="D181" s="36"/>
      <c r="E181" s="28"/>
      <c r="F181" s="23"/>
      <c r="G181" s="25">
        <v>120</v>
      </c>
      <c r="H181" s="23"/>
      <c r="I181" s="23"/>
      <c r="J181" s="30"/>
      <c r="K181" s="16"/>
      <c r="L181" s="17"/>
      <c r="M181" s="16"/>
      <c r="N181" s="16"/>
      <c r="O181" s="16"/>
      <c r="P181" s="25"/>
      <c r="Q181" s="33"/>
      <c r="R181" s="23"/>
      <c r="S181" s="28"/>
      <c r="T181" s="34"/>
      <c r="U181" s="34"/>
    </row>
    <row r="182" spans="1:21" ht="18.75" customHeight="1">
      <c r="A182" s="11">
        <v>180</v>
      </c>
      <c r="B182" s="42" t="s">
        <v>211</v>
      </c>
      <c r="C182" s="19" t="s">
        <v>205</v>
      </c>
      <c r="D182" s="83" t="s">
        <v>461</v>
      </c>
      <c r="E182" s="84" t="s">
        <v>462</v>
      </c>
      <c r="F182" s="23"/>
      <c r="G182" s="81"/>
      <c r="H182" s="23"/>
      <c r="I182" s="23"/>
      <c r="J182" s="30"/>
      <c r="K182" s="16"/>
      <c r="L182" s="17"/>
      <c r="M182" s="16"/>
      <c r="N182" s="16"/>
      <c r="O182" s="16"/>
      <c r="P182" s="25"/>
      <c r="Q182" s="33"/>
      <c r="R182" s="23"/>
      <c r="S182" s="28"/>
      <c r="T182" s="34"/>
      <c r="U182" s="34"/>
    </row>
    <row r="183" spans="1:21" ht="18.75" customHeight="1">
      <c r="A183" s="11">
        <v>181</v>
      </c>
      <c r="B183" s="42" t="s">
        <v>212</v>
      </c>
      <c r="C183" s="19" t="s">
        <v>205</v>
      </c>
      <c r="D183" s="12"/>
      <c r="E183" s="28"/>
      <c r="F183" s="23"/>
      <c r="G183" s="25">
        <v>40</v>
      </c>
      <c r="H183" s="23"/>
      <c r="I183" s="23"/>
      <c r="J183" s="30"/>
      <c r="K183" s="16"/>
      <c r="L183" s="17"/>
      <c r="M183" s="16"/>
      <c r="N183" s="16"/>
      <c r="O183" s="16"/>
      <c r="P183" s="25"/>
      <c r="Q183" s="33"/>
      <c r="R183" s="23"/>
      <c r="S183" s="28"/>
      <c r="T183" s="34"/>
      <c r="U183" s="34"/>
    </row>
    <row r="184" spans="1:21" ht="18.75" customHeight="1">
      <c r="A184" s="11">
        <v>182</v>
      </c>
      <c r="B184" s="42" t="s">
        <v>213</v>
      </c>
      <c r="C184" s="19" t="s">
        <v>205</v>
      </c>
      <c r="D184" s="12"/>
      <c r="E184" s="28"/>
      <c r="F184" s="23"/>
      <c r="G184" s="25">
        <v>80</v>
      </c>
      <c r="H184" s="23"/>
      <c r="I184" s="23"/>
      <c r="J184" s="30">
        <v>1</v>
      </c>
      <c r="K184" s="16">
        <f>J184*8</f>
        <v>8</v>
      </c>
      <c r="L184" s="17"/>
      <c r="M184" s="16"/>
      <c r="N184" s="16"/>
      <c r="O184" s="16">
        <f>N184+M184+K184</f>
        <v>8</v>
      </c>
      <c r="P184" s="25"/>
      <c r="Q184" s="33"/>
      <c r="R184" s="23"/>
      <c r="S184" s="28"/>
      <c r="T184" s="34"/>
      <c r="U184" s="34"/>
    </row>
    <row r="185" spans="1:21" ht="18.75" customHeight="1">
      <c r="A185" s="11">
        <v>183</v>
      </c>
      <c r="B185" s="42" t="s">
        <v>214</v>
      </c>
      <c r="C185" s="19" t="s">
        <v>205</v>
      </c>
      <c r="D185" s="12"/>
      <c r="E185" s="28"/>
      <c r="F185" s="23"/>
      <c r="G185" s="25">
        <v>88</v>
      </c>
      <c r="H185" s="23"/>
      <c r="I185" s="23"/>
      <c r="J185" s="30">
        <v>4</v>
      </c>
      <c r="K185" s="16">
        <f>J185*8</f>
        <v>32</v>
      </c>
      <c r="L185" s="17"/>
      <c r="M185" s="16"/>
      <c r="N185" s="16"/>
      <c r="O185" s="16">
        <f>N185+M185+K185</f>
        <v>32</v>
      </c>
      <c r="P185" s="25"/>
      <c r="Q185" s="33"/>
      <c r="R185" s="23"/>
      <c r="S185" s="28"/>
      <c r="T185" s="34"/>
      <c r="U185" s="34"/>
    </row>
    <row r="186" spans="1:21" ht="18.75" customHeight="1">
      <c r="A186" s="11">
        <v>184</v>
      </c>
      <c r="B186" s="42" t="s">
        <v>215</v>
      </c>
      <c r="C186" s="19" t="s">
        <v>205</v>
      </c>
      <c r="D186" s="12"/>
      <c r="E186" s="28"/>
      <c r="F186" s="23"/>
      <c r="G186" s="25">
        <v>88</v>
      </c>
      <c r="H186" s="23"/>
      <c r="I186" s="23"/>
      <c r="J186" s="30">
        <v>4</v>
      </c>
      <c r="K186" s="16">
        <f t="shared" ref="K186" si="18">J186*8</f>
        <v>32</v>
      </c>
      <c r="L186" s="17"/>
      <c r="M186" s="16"/>
      <c r="N186" s="16"/>
      <c r="O186" s="16">
        <f t="shared" ref="O186" si="19">N186+M186+K186</f>
        <v>32</v>
      </c>
      <c r="P186" s="25"/>
      <c r="Q186" s="33"/>
      <c r="R186" s="23"/>
      <c r="S186" s="28"/>
      <c r="T186" s="34"/>
      <c r="U186" s="34"/>
    </row>
    <row r="187" spans="1:21" ht="18.75" customHeight="1">
      <c r="A187" s="11">
        <v>185</v>
      </c>
      <c r="B187" s="42" t="s">
        <v>216</v>
      </c>
      <c r="C187" s="19" t="s">
        <v>205</v>
      </c>
      <c r="D187" s="12"/>
      <c r="E187" s="28"/>
      <c r="F187" s="23"/>
      <c r="G187" s="25">
        <v>40</v>
      </c>
      <c r="H187" s="23"/>
      <c r="I187" s="23"/>
      <c r="J187" s="30">
        <v>4</v>
      </c>
      <c r="K187" s="16">
        <f>J187*8</f>
        <v>32</v>
      </c>
      <c r="L187" s="17"/>
      <c r="M187" s="16"/>
      <c r="N187" s="16"/>
      <c r="O187" s="16">
        <f>N187+M187+K187</f>
        <v>32</v>
      </c>
      <c r="P187" s="25"/>
      <c r="Q187" s="33"/>
      <c r="R187" s="23"/>
      <c r="S187" s="28"/>
      <c r="T187" s="34"/>
      <c r="U187" s="34"/>
    </row>
    <row r="188" spans="1:21" ht="18.75" customHeight="1">
      <c r="A188" s="11">
        <v>186</v>
      </c>
      <c r="B188" s="19" t="s">
        <v>217</v>
      </c>
      <c r="C188" s="19" t="s">
        <v>205</v>
      </c>
      <c r="D188" s="21"/>
      <c r="E188" s="28"/>
      <c r="F188" s="23"/>
      <c r="G188" s="25">
        <v>112</v>
      </c>
      <c r="H188" s="23"/>
      <c r="I188" s="23"/>
      <c r="J188" s="30"/>
      <c r="K188" s="16"/>
      <c r="L188" s="17"/>
      <c r="M188" s="16"/>
      <c r="N188" s="16"/>
      <c r="O188" s="16"/>
      <c r="P188" s="25"/>
      <c r="Q188" s="33"/>
      <c r="R188" s="23"/>
      <c r="S188" s="28"/>
      <c r="T188" s="34"/>
      <c r="U188" s="34"/>
    </row>
    <row r="189" spans="1:21" ht="18.75" customHeight="1">
      <c r="A189" s="11">
        <v>187</v>
      </c>
      <c r="B189" s="19" t="s">
        <v>218</v>
      </c>
      <c r="C189" s="19" t="s">
        <v>205</v>
      </c>
      <c r="D189" s="21"/>
      <c r="E189" s="28"/>
      <c r="F189" s="23"/>
      <c r="G189" s="25">
        <v>40</v>
      </c>
      <c r="H189" s="23"/>
      <c r="I189" s="23"/>
      <c r="J189" s="30"/>
      <c r="K189" s="16"/>
      <c r="L189" s="17"/>
      <c r="M189" s="16"/>
      <c r="N189" s="16"/>
      <c r="O189" s="16"/>
      <c r="P189" s="25"/>
      <c r="Q189" s="33"/>
      <c r="R189" s="23"/>
      <c r="S189" s="28"/>
      <c r="T189" s="34"/>
      <c r="U189" s="34"/>
    </row>
    <row r="190" spans="1:21" ht="18.75" customHeight="1">
      <c r="A190" s="11">
        <v>188</v>
      </c>
      <c r="B190" s="19" t="s">
        <v>219</v>
      </c>
      <c r="C190" s="19" t="s">
        <v>205</v>
      </c>
      <c r="D190" s="21"/>
      <c r="E190" s="28"/>
      <c r="F190" s="23"/>
      <c r="G190" s="25">
        <v>72</v>
      </c>
      <c r="H190" s="23"/>
      <c r="I190" s="23"/>
      <c r="J190" s="30"/>
      <c r="K190" s="16"/>
      <c r="L190" s="17"/>
      <c r="M190" s="16"/>
      <c r="N190" s="16"/>
      <c r="O190" s="16"/>
      <c r="P190" s="25"/>
      <c r="Q190" s="33"/>
      <c r="R190" s="23"/>
      <c r="S190" s="28"/>
      <c r="T190" s="34"/>
      <c r="U190" s="34"/>
    </row>
    <row r="191" spans="1:21" ht="18.75" customHeight="1">
      <c r="A191" s="11">
        <v>189</v>
      </c>
      <c r="B191" s="19" t="s">
        <v>220</v>
      </c>
      <c r="C191" s="19" t="s">
        <v>205</v>
      </c>
      <c r="D191" s="21"/>
      <c r="E191" s="28"/>
      <c r="F191" s="23"/>
      <c r="G191" s="25">
        <v>112</v>
      </c>
      <c r="H191" s="23"/>
      <c r="I191" s="23"/>
      <c r="J191" s="30"/>
      <c r="K191" s="16"/>
      <c r="L191" s="17"/>
      <c r="M191" s="16"/>
      <c r="N191" s="16"/>
      <c r="O191" s="16"/>
      <c r="P191" s="25"/>
      <c r="Q191" s="33"/>
      <c r="R191" s="23"/>
      <c r="S191" s="28"/>
      <c r="T191" s="34"/>
      <c r="U191" s="34"/>
    </row>
    <row r="192" spans="1:21" ht="18.75" customHeight="1">
      <c r="A192" s="11">
        <v>190</v>
      </c>
      <c r="B192" s="19" t="s">
        <v>221</v>
      </c>
      <c r="C192" s="19" t="s">
        <v>205</v>
      </c>
      <c r="D192" s="21"/>
      <c r="E192" s="28"/>
      <c r="F192" s="23"/>
      <c r="G192" s="25">
        <v>72</v>
      </c>
      <c r="H192" s="23"/>
      <c r="I192" s="23"/>
      <c r="J192" s="30"/>
      <c r="K192" s="16"/>
      <c r="L192" s="17"/>
      <c r="M192" s="16"/>
      <c r="N192" s="16"/>
      <c r="O192" s="16"/>
      <c r="P192" s="25"/>
      <c r="Q192" s="33"/>
      <c r="R192" s="23"/>
      <c r="S192" s="28"/>
      <c r="T192" s="34"/>
      <c r="U192" s="34"/>
    </row>
    <row r="193" spans="1:21" ht="18.75" customHeight="1">
      <c r="A193" s="11">
        <v>191</v>
      </c>
      <c r="B193" s="19" t="s">
        <v>222</v>
      </c>
      <c r="C193" s="19" t="s">
        <v>205</v>
      </c>
      <c r="D193" s="21"/>
      <c r="E193" s="28"/>
      <c r="F193" s="23"/>
      <c r="G193" s="25">
        <v>120</v>
      </c>
      <c r="H193" s="23"/>
      <c r="I193" s="23"/>
      <c r="J193" s="30"/>
      <c r="K193" s="16"/>
      <c r="L193" s="17"/>
      <c r="M193" s="16"/>
      <c r="N193" s="16"/>
      <c r="O193" s="16"/>
      <c r="P193" s="25"/>
      <c r="Q193" s="33"/>
      <c r="R193" s="23"/>
      <c r="S193" s="28"/>
      <c r="T193" s="34"/>
      <c r="U193" s="34"/>
    </row>
    <row r="194" spans="1:21" ht="18.75" customHeight="1">
      <c r="A194" s="11">
        <v>192</v>
      </c>
      <c r="B194" s="11" t="s">
        <v>223</v>
      </c>
      <c r="C194" s="19" t="s">
        <v>205</v>
      </c>
      <c r="D194" s="12"/>
      <c r="E194" s="13"/>
      <c r="F194" s="23"/>
      <c r="G194" s="14">
        <v>120</v>
      </c>
      <c r="H194" s="13"/>
      <c r="I194" s="13"/>
      <c r="J194" s="30"/>
      <c r="K194" s="16"/>
      <c r="L194" s="17"/>
      <c r="M194" s="16"/>
      <c r="N194" s="16"/>
      <c r="O194" s="16"/>
      <c r="P194" s="25"/>
      <c r="Q194" s="33"/>
      <c r="R194" s="23"/>
      <c r="S194" s="28"/>
      <c r="T194" s="34"/>
      <c r="U194" s="11"/>
    </row>
    <row r="195" spans="1:21" ht="18.75" customHeight="1">
      <c r="A195" s="11">
        <v>193</v>
      </c>
      <c r="B195" s="11" t="s">
        <v>224</v>
      </c>
      <c r="C195" s="19" t="s">
        <v>205</v>
      </c>
      <c r="D195" s="12"/>
      <c r="E195" s="13"/>
      <c r="F195" s="23"/>
      <c r="G195" s="14">
        <v>48</v>
      </c>
      <c r="H195" s="13"/>
      <c r="I195" s="13"/>
      <c r="J195" s="30"/>
      <c r="K195" s="16"/>
      <c r="L195" s="17"/>
      <c r="M195" s="16"/>
      <c r="N195" s="16"/>
      <c r="O195" s="16"/>
      <c r="P195" s="25"/>
      <c r="Q195" s="33"/>
      <c r="R195" s="23"/>
      <c r="S195" s="28"/>
      <c r="T195" s="34"/>
      <c r="U195" s="11"/>
    </row>
    <row r="196" spans="1:21" ht="18.75" customHeight="1">
      <c r="A196" s="11">
        <v>194</v>
      </c>
      <c r="B196" s="19" t="s">
        <v>225</v>
      </c>
      <c r="C196" s="19" t="s">
        <v>205</v>
      </c>
      <c r="D196" s="21"/>
      <c r="E196" s="28"/>
      <c r="F196" s="23"/>
      <c r="G196" s="24">
        <v>88</v>
      </c>
      <c r="H196" s="39"/>
      <c r="I196" s="39"/>
      <c r="J196" s="30">
        <v>4</v>
      </c>
      <c r="K196" s="16">
        <f>J196*8</f>
        <v>32</v>
      </c>
      <c r="L196" s="17"/>
      <c r="M196" s="16"/>
      <c r="N196" s="16"/>
      <c r="O196" s="16">
        <f>N196+M196+K196</f>
        <v>32</v>
      </c>
      <c r="P196" s="25"/>
      <c r="Q196" s="33"/>
      <c r="R196" s="23"/>
      <c r="S196" s="28"/>
      <c r="T196" s="34"/>
      <c r="U196" s="34"/>
    </row>
    <row r="197" spans="1:21" ht="18.75" customHeight="1">
      <c r="A197" s="11">
        <v>195</v>
      </c>
      <c r="B197" s="19" t="s">
        <v>226</v>
      </c>
      <c r="C197" s="19" t="s">
        <v>205</v>
      </c>
      <c r="D197" s="21"/>
      <c r="E197" s="22"/>
      <c r="F197" s="17"/>
      <c r="G197" s="24">
        <v>120</v>
      </c>
      <c r="H197" s="22"/>
      <c r="I197" s="22"/>
      <c r="J197" s="30"/>
      <c r="K197" s="16"/>
      <c r="L197" s="17"/>
      <c r="M197" s="16"/>
      <c r="N197" s="16"/>
      <c r="O197" s="16"/>
      <c r="P197" s="25"/>
      <c r="Q197" s="33"/>
      <c r="R197" s="23"/>
      <c r="S197" s="28"/>
      <c r="T197" s="34"/>
      <c r="U197" s="23"/>
    </row>
    <row r="198" spans="1:21" ht="18.75" customHeight="1">
      <c r="A198" s="11">
        <v>196</v>
      </c>
      <c r="B198" s="19" t="s">
        <v>227</v>
      </c>
      <c r="C198" s="19" t="s">
        <v>205</v>
      </c>
      <c r="D198" s="21"/>
      <c r="E198" s="22"/>
      <c r="F198" s="17"/>
      <c r="G198" s="24">
        <v>120</v>
      </c>
      <c r="H198" s="22"/>
      <c r="I198" s="22"/>
      <c r="J198" s="30"/>
      <c r="K198" s="16"/>
      <c r="L198" s="17"/>
      <c r="M198" s="16"/>
      <c r="N198" s="16"/>
      <c r="O198" s="16"/>
      <c r="P198" s="25"/>
      <c r="Q198" s="33"/>
      <c r="R198" s="23"/>
      <c r="S198" s="28"/>
      <c r="T198" s="34"/>
      <c r="U198" s="23"/>
    </row>
    <row r="199" spans="1:21" ht="18.75" customHeight="1">
      <c r="A199" s="11">
        <v>197</v>
      </c>
      <c r="B199" s="19" t="s">
        <v>228</v>
      </c>
      <c r="C199" s="19" t="s">
        <v>205</v>
      </c>
      <c r="D199" s="43"/>
      <c r="E199" s="22"/>
      <c r="F199" s="23"/>
      <c r="G199" s="24">
        <v>120</v>
      </c>
      <c r="H199" s="22"/>
      <c r="I199" s="22"/>
      <c r="J199" s="30"/>
      <c r="K199" s="16"/>
      <c r="L199" s="17"/>
      <c r="M199" s="16"/>
      <c r="N199" s="16"/>
      <c r="O199" s="16"/>
      <c r="P199" s="25"/>
      <c r="Q199" s="33"/>
      <c r="R199" s="23"/>
      <c r="S199" s="28"/>
      <c r="T199" s="34"/>
      <c r="U199" s="23"/>
    </row>
    <row r="200" spans="1:21" ht="18.75" customHeight="1">
      <c r="A200" s="11">
        <v>198</v>
      </c>
      <c r="B200" s="19" t="s">
        <v>229</v>
      </c>
      <c r="C200" s="19" t="s">
        <v>205</v>
      </c>
      <c r="D200" s="43"/>
      <c r="E200" s="22"/>
      <c r="F200" s="23"/>
      <c r="G200" s="24">
        <v>40</v>
      </c>
      <c r="H200" s="22"/>
      <c r="I200" s="22"/>
      <c r="J200" s="30"/>
      <c r="K200" s="16"/>
      <c r="L200" s="17"/>
      <c r="M200" s="16"/>
      <c r="N200" s="16"/>
      <c r="O200" s="16"/>
      <c r="P200" s="25"/>
      <c r="Q200" s="33"/>
      <c r="R200" s="23"/>
      <c r="S200" s="28"/>
      <c r="T200" s="34"/>
      <c r="U200" s="23"/>
    </row>
    <row r="201" spans="1:21" ht="18.75" customHeight="1">
      <c r="A201" s="11">
        <v>199</v>
      </c>
      <c r="B201" s="19" t="s">
        <v>230</v>
      </c>
      <c r="C201" s="19" t="s">
        <v>205</v>
      </c>
      <c r="D201" s="43"/>
      <c r="E201" s="22"/>
      <c r="F201" s="23"/>
      <c r="G201" s="24"/>
      <c r="H201" s="22"/>
      <c r="I201" s="22"/>
      <c r="J201" s="30">
        <v>4</v>
      </c>
      <c r="K201" s="16">
        <f>J201*8</f>
        <v>32</v>
      </c>
      <c r="L201" s="17"/>
      <c r="M201" s="16"/>
      <c r="N201" s="16"/>
      <c r="O201" s="16">
        <f>N201+M201+K201</f>
        <v>32</v>
      </c>
      <c r="P201" s="25"/>
      <c r="Q201" s="33"/>
      <c r="R201" s="23"/>
      <c r="S201" s="28"/>
      <c r="T201" s="34"/>
      <c r="U201" s="23"/>
    </row>
    <row r="202" spans="1:21" ht="18.75" customHeight="1">
      <c r="A202" s="11">
        <v>200</v>
      </c>
      <c r="B202" s="19" t="s">
        <v>231</v>
      </c>
      <c r="C202" s="19" t="s">
        <v>205</v>
      </c>
      <c r="D202" s="43"/>
      <c r="E202" s="22"/>
      <c r="F202" s="23"/>
      <c r="G202" s="24">
        <v>40</v>
      </c>
      <c r="H202" s="22"/>
      <c r="I202" s="22"/>
      <c r="J202" s="30"/>
      <c r="K202" s="16"/>
      <c r="L202" s="17"/>
      <c r="M202" s="16"/>
      <c r="N202" s="16"/>
      <c r="O202" s="16"/>
      <c r="P202" s="25"/>
      <c r="Q202" s="33"/>
      <c r="R202" s="23"/>
      <c r="S202" s="28"/>
      <c r="T202" s="34"/>
      <c r="U202" s="23"/>
    </row>
    <row r="203" spans="1:21" s="1" customFormat="1" ht="18.75" customHeight="1">
      <c r="A203" s="11">
        <v>201</v>
      </c>
      <c r="B203" s="42" t="s">
        <v>232</v>
      </c>
      <c r="C203" s="19" t="s">
        <v>205</v>
      </c>
      <c r="D203" s="43"/>
      <c r="E203" s="28"/>
      <c r="F203" s="23"/>
      <c r="G203" s="24">
        <v>120</v>
      </c>
      <c r="H203" s="39"/>
      <c r="I203" s="39"/>
      <c r="J203" s="30"/>
      <c r="K203" s="16"/>
      <c r="L203" s="17"/>
      <c r="M203" s="16"/>
      <c r="N203" s="16"/>
      <c r="O203" s="16"/>
      <c r="P203" s="25"/>
      <c r="Q203" s="33"/>
      <c r="R203" s="23"/>
      <c r="S203" s="28"/>
      <c r="T203" s="34"/>
      <c r="U203" s="34"/>
    </row>
    <row r="204" spans="1:21" ht="18.75" customHeight="1">
      <c r="A204" s="11">
        <v>202</v>
      </c>
      <c r="B204" s="42" t="s">
        <v>233</v>
      </c>
      <c r="C204" s="19" t="s">
        <v>205</v>
      </c>
      <c r="D204" s="43"/>
      <c r="E204" s="28"/>
      <c r="F204" s="23"/>
      <c r="G204" s="24">
        <v>40</v>
      </c>
      <c r="H204" s="39"/>
      <c r="I204" s="39"/>
      <c r="J204" s="30"/>
      <c r="K204" s="16"/>
      <c r="L204" s="17"/>
      <c r="M204" s="16"/>
      <c r="N204" s="16"/>
      <c r="O204" s="16"/>
      <c r="P204" s="25"/>
      <c r="Q204" s="33"/>
      <c r="R204" s="23"/>
      <c r="S204" s="28"/>
      <c r="T204" s="34"/>
      <c r="U204" s="34"/>
    </row>
  </sheetData>
  <mergeCells count="1">
    <mergeCell ref="A1:U1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85"/>
  <sheetViews>
    <sheetView workbookViewId="0">
      <pane xSplit="20" ySplit="2" topLeftCell="U168" activePane="bottomRight" state="frozenSplit"/>
      <selection pane="topRight" activeCell="C1" sqref="C1"/>
      <selection pane="bottomLeft" activeCell="A5" sqref="A5"/>
      <selection pane="bottomRight" sqref="A1:XFD1048576"/>
    </sheetView>
  </sheetViews>
  <sheetFormatPr defaultRowHeight="20.25" customHeight="1"/>
  <cols>
    <col min="1" max="1" width="4.375" style="1" customWidth="1"/>
    <col min="2" max="2" width="9.125" style="1" customWidth="1"/>
    <col min="3" max="3" width="11.875" style="70" customWidth="1"/>
    <col min="4" max="5" width="6.75" style="69" customWidth="1"/>
    <col min="6" max="6" width="6.625" style="75" customWidth="1"/>
    <col min="7" max="7" width="5.875" style="69" customWidth="1"/>
    <col min="8" max="8" width="9.25" style="69" customWidth="1"/>
    <col min="9" max="9" width="6.625" style="78" customWidth="1"/>
    <col min="10" max="10" width="9" style="1" customWidth="1"/>
    <col min="11" max="11" width="6.5" style="69" customWidth="1"/>
    <col min="12" max="13" width="9" style="1" customWidth="1"/>
    <col min="14" max="14" width="8" style="1" customWidth="1"/>
    <col min="15" max="16" width="8.625" style="76" customWidth="1"/>
    <col min="17" max="18" width="8.625" style="77" customWidth="1"/>
    <col min="19" max="19" width="8.625" style="69" customWidth="1"/>
    <col min="20" max="16384" width="9" style="1"/>
  </cols>
  <sheetData>
    <row r="1" spans="1:21" ht="30" customHeight="1">
      <c r="A1" s="98" t="s">
        <v>447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</row>
    <row r="2" spans="1:21" ht="30" customHeight="1">
      <c r="A2" s="34" t="s">
        <v>234</v>
      </c>
      <c r="B2" s="34" t="s">
        <v>1</v>
      </c>
      <c r="C2" s="54" t="s">
        <v>235</v>
      </c>
      <c r="D2" s="4" t="s">
        <v>4</v>
      </c>
      <c r="E2" s="5" t="s">
        <v>5</v>
      </c>
      <c r="F2" s="6" t="s">
        <v>236</v>
      </c>
      <c r="G2" s="4" t="s">
        <v>7</v>
      </c>
      <c r="H2" s="55" t="s">
        <v>8</v>
      </c>
      <c r="I2" s="56" t="s">
        <v>9</v>
      </c>
      <c r="J2" s="16" t="s">
        <v>10</v>
      </c>
      <c r="K2" s="55" t="s">
        <v>11</v>
      </c>
      <c r="L2" s="57" t="s">
        <v>12</v>
      </c>
      <c r="M2" s="57" t="s">
        <v>13</v>
      </c>
      <c r="N2" s="57" t="s">
        <v>14</v>
      </c>
      <c r="O2" s="58" t="s">
        <v>15</v>
      </c>
      <c r="P2" s="58" t="s">
        <v>16</v>
      </c>
      <c r="Q2" s="59" t="s">
        <v>17</v>
      </c>
      <c r="R2" s="59" t="s">
        <v>18</v>
      </c>
      <c r="S2" s="60" t="s">
        <v>19</v>
      </c>
      <c r="T2" s="32" t="s">
        <v>20</v>
      </c>
    </row>
    <row r="3" spans="1:21" ht="20.25" customHeight="1">
      <c r="A3" s="34">
        <v>1</v>
      </c>
      <c r="B3" s="34" t="s">
        <v>237</v>
      </c>
      <c r="C3" s="54"/>
      <c r="D3" s="28"/>
      <c r="E3" s="28"/>
      <c r="F3" s="25"/>
      <c r="G3" s="28"/>
      <c r="H3" s="28"/>
      <c r="I3" s="61"/>
      <c r="J3" s="62"/>
      <c r="K3" s="28"/>
      <c r="L3" s="62"/>
      <c r="M3" s="62"/>
      <c r="N3" s="62"/>
      <c r="O3" s="25"/>
      <c r="P3" s="25"/>
      <c r="Q3" s="23"/>
      <c r="R3" s="23"/>
      <c r="S3" s="23"/>
      <c r="T3" s="32"/>
    </row>
    <row r="4" spans="1:21" ht="20.25" customHeight="1">
      <c r="A4" s="63" t="s">
        <v>238</v>
      </c>
      <c r="B4" s="64"/>
      <c r="C4" s="65"/>
      <c r="D4" s="28"/>
      <c r="E4" s="28"/>
      <c r="F4" s="25"/>
      <c r="G4" s="28"/>
      <c r="H4" s="28"/>
      <c r="I4" s="61"/>
      <c r="J4" s="62"/>
      <c r="K4" s="28"/>
      <c r="L4" s="62"/>
      <c r="M4" s="62"/>
      <c r="N4" s="62"/>
      <c r="O4" s="25"/>
      <c r="P4" s="25"/>
      <c r="Q4" s="23"/>
      <c r="R4" s="23"/>
      <c r="S4" s="23"/>
      <c r="T4" s="32"/>
    </row>
    <row r="5" spans="1:21" ht="20.25" customHeight="1">
      <c r="A5" s="34">
        <v>1</v>
      </c>
      <c r="B5" s="34" t="s">
        <v>239</v>
      </c>
      <c r="C5" s="54"/>
      <c r="D5" s="28"/>
      <c r="E5" s="28"/>
      <c r="F5" s="25"/>
      <c r="G5" s="28"/>
      <c r="H5" s="28"/>
      <c r="I5" s="61"/>
      <c r="J5" s="62"/>
      <c r="K5" s="28"/>
      <c r="L5" s="62"/>
      <c r="M5" s="62"/>
      <c r="N5" s="62"/>
      <c r="O5" s="25"/>
      <c r="P5" s="25"/>
      <c r="Q5" s="23"/>
      <c r="R5" s="23"/>
      <c r="S5" s="23"/>
      <c r="T5" s="32"/>
    </row>
    <row r="6" spans="1:21" ht="20.25" customHeight="1">
      <c r="A6" s="34">
        <v>2</v>
      </c>
      <c r="B6" s="34" t="s">
        <v>240</v>
      </c>
      <c r="C6" s="66"/>
      <c r="D6" s="28"/>
      <c r="E6" s="28"/>
      <c r="F6" s="25">
        <v>25</v>
      </c>
      <c r="G6" s="28"/>
      <c r="H6" s="28"/>
      <c r="I6" s="61"/>
      <c r="J6" s="62"/>
      <c r="K6" s="28"/>
      <c r="L6" s="62"/>
      <c r="M6" s="62"/>
      <c r="N6" s="62"/>
      <c r="O6" s="25"/>
      <c r="P6" s="25"/>
      <c r="Q6" s="23"/>
      <c r="R6" s="23"/>
      <c r="S6" s="23"/>
      <c r="T6" s="32"/>
    </row>
    <row r="7" spans="1:21" ht="20.25" customHeight="1">
      <c r="A7" s="34">
        <v>3</v>
      </c>
      <c r="B7" s="34" t="s">
        <v>241</v>
      </c>
      <c r="C7" s="54">
        <v>8</v>
      </c>
      <c r="D7" s="28"/>
      <c r="E7" s="28"/>
      <c r="F7" s="25">
        <v>23</v>
      </c>
      <c r="G7" s="28"/>
      <c r="H7" s="28"/>
      <c r="I7" s="61"/>
      <c r="J7" s="62"/>
      <c r="K7" s="28"/>
      <c r="L7" s="62"/>
      <c r="M7" s="62"/>
      <c r="N7" s="62"/>
      <c r="O7" s="25"/>
      <c r="P7" s="25"/>
      <c r="Q7" s="23"/>
      <c r="R7" s="23"/>
      <c r="S7" s="23"/>
      <c r="T7" s="32"/>
    </row>
    <row r="8" spans="1:21" ht="20.25" customHeight="1">
      <c r="A8" s="34">
        <v>4</v>
      </c>
      <c r="B8" s="34" t="s">
        <v>242</v>
      </c>
      <c r="C8" s="54">
        <v>4</v>
      </c>
      <c r="D8" s="28"/>
      <c r="E8" s="28"/>
      <c r="F8" s="25">
        <v>19</v>
      </c>
      <c r="G8" s="28"/>
      <c r="H8" s="28"/>
      <c r="I8" s="61"/>
      <c r="J8" s="62"/>
      <c r="K8" s="28"/>
      <c r="L8" s="62"/>
      <c r="M8" s="62"/>
      <c r="N8" s="62"/>
      <c r="O8" s="25"/>
      <c r="P8" s="25"/>
      <c r="Q8" s="23"/>
      <c r="R8" s="23"/>
      <c r="S8" s="23"/>
      <c r="T8" s="32"/>
    </row>
    <row r="9" spans="1:21" ht="20.25" customHeight="1">
      <c r="A9" s="34">
        <v>5</v>
      </c>
      <c r="B9" s="34" t="s">
        <v>243</v>
      </c>
      <c r="C9" s="54"/>
      <c r="D9" s="28"/>
      <c r="E9" s="28"/>
      <c r="F9" s="25">
        <v>26</v>
      </c>
      <c r="G9" s="28"/>
      <c r="H9" s="28"/>
      <c r="I9" s="61"/>
      <c r="J9" s="62"/>
      <c r="K9" s="28"/>
      <c r="L9" s="62"/>
      <c r="M9" s="62"/>
      <c r="N9" s="62"/>
      <c r="O9" s="25"/>
      <c r="P9" s="25"/>
      <c r="Q9" s="23"/>
      <c r="R9" s="23"/>
      <c r="S9" s="23"/>
      <c r="T9" s="35"/>
    </row>
    <row r="10" spans="1:21" ht="20.25" customHeight="1">
      <c r="A10" s="34">
        <v>6</v>
      </c>
      <c r="B10" s="34" t="s">
        <v>244</v>
      </c>
      <c r="C10" s="54"/>
      <c r="D10" s="28"/>
      <c r="E10" s="28"/>
      <c r="F10" s="25">
        <v>24</v>
      </c>
      <c r="G10" s="28"/>
      <c r="H10" s="28"/>
      <c r="I10" s="61"/>
      <c r="J10" s="62"/>
      <c r="K10" s="28"/>
      <c r="L10" s="62"/>
      <c r="M10" s="62"/>
      <c r="N10" s="62"/>
      <c r="O10" s="25"/>
      <c r="P10" s="25"/>
      <c r="Q10" s="23"/>
      <c r="R10" s="23"/>
      <c r="S10" s="23"/>
      <c r="T10" s="35"/>
    </row>
    <row r="11" spans="1:21" ht="20.25" customHeight="1">
      <c r="A11" s="63" t="s">
        <v>245</v>
      </c>
      <c r="B11" s="64"/>
      <c r="C11" s="65"/>
      <c r="D11" s="28"/>
      <c r="E11" s="28"/>
      <c r="F11" s="25"/>
      <c r="G11" s="28"/>
      <c r="H11" s="28"/>
      <c r="I11" s="61"/>
      <c r="J11" s="62"/>
      <c r="K11" s="28"/>
      <c r="L11" s="62"/>
      <c r="M11" s="62"/>
      <c r="N11" s="62"/>
      <c r="O11" s="25"/>
      <c r="P11" s="25"/>
      <c r="Q11" s="23"/>
      <c r="R11" s="23"/>
      <c r="S11" s="23"/>
      <c r="T11" s="32"/>
    </row>
    <row r="12" spans="1:21" ht="20.25" customHeight="1">
      <c r="A12" s="34">
        <v>1</v>
      </c>
      <c r="B12" s="34" t="s">
        <v>246</v>
      </c>
      <c r="C12" s="54"/>
      <c r="D12" s="28"/>
      <c r="E12" s="28"/>
      <c r="F12" s="25">
        <v>32</v>
      </c>
      <c r="G12" s="28"/>
      <c r="H12" s="28"/>
      <c r="I12" s="61"/>
      <c r="J12" s="62"/>
      <c r="K12" s="28"/>
      <c r="L12" s="62"/>
      <c r="M12" s="62"/>
      <c r="N12" s="62"/>
      <c r="O12" s="25"/>
      <c r="P12" s="25"/>
      <c r="Q12" s="23"/>
      <c r="R12" s="23"/>
      <c r="S12" s="23"/>
      <c r="T12" s="32"/>
    </row>
    <row r="13" spans="1:21" ht="20.25" customHeight="1">
      <c r="A13" s="34">
        <v>2</v>
      </c>
      <c r="B13" s="34" t="s">
        <v>247</v>
      </c>
      <c r="C13" s="54"/>
      <c r="D13" s="28"/>
      <c r="E13" s="28"/>
      <c r="F13" s="25"/>
      <c r="G13" s="28"/>
      <c r="H13" s="28"/>
      <c r="I13" s="61"/>
      <c r="J13" s="62"/>
      <c r="K13" s="28"/>
      <c r="L13" s="62"/>
      <c r="M13" s="62"/>
      <c r="N13" s="62"/>
      <c r="O13" s="25"/>
      <c r="P13" s="25"/>
      <c r="Q13" s="23"/>
      <c r="R13" s="23"/>
      <c r="S13" s="23"/>
      <c r="T13" s="32"/>
    </row>
    <row r="14" spans="1:21" ht="20.25" customHeight="1">
      <c r="A14" s="34">
        <v>3</v>
      </c>
      <c r="B14" s="34" t="s">
        <v>249</v>
      </c>
      <c r="C14" s="66"/>
      <c r="D14" s="28"/>
      <c r="E14" s="28"/>
      <c r="F14" s="25">
        <v>40</v>
      </c>
      <c r="G14" s="28"/>
      <c r="H14" s="23"/>
      <c r="I14" s="61"/>
      <c r="J14" s="62"/>
      <c r="K14" s="28"/>
      <c r="L14" s="62"/>
      <c r="M14" s="62"/>
      <c r="N14" s="62"/>
      <c r="O14" s="25"/>
      <c r="P14" s="25"/>
      <c r="Q14" s="23"/>
      <c r="R14" s="23"/>
      <c r="S14" s="23"/>
      <c r="T14" s="32"/>
    </row>
    <row r="15" spans="1:21" ht="20.25" customHeight="1">
      <c r="A15" s="34">
        <v>4</v>
      </c>
      <c r="B15" s="34" t="s">
        <v>250</v>
      </c>
      <c r="C15" s="66">
        <v>4</v>
      </c>
      <c r="D15" s="28"/>
      <c r="E15" s="28"/>
      <c r="F15" s="25"/>
      <c r="G15" s="28"/>
      <c r="H15" s="23"/>
      <c r="I15" s="61"/>
      <c r="J15" s="62"/>
      <c r="K15" s="28"/>
      <c r="L15" s="62"/>
      <c r="M15" s="62"/>
      <c r="N15" s="62"/>
      <c r="O15" s="25"/>
      <c r="P15" s="25"/>
      <c r="Q15" s="23"/>
      <c r="R15" s="23"/>
      <c r="S15" s="23"/>
      <c r="T15" s="32"/>
    </row>
    <row r="16" spans="1:21" ht="20.25" customHeight="1">
      <c r="A16" s="34">
        <v>5</v>
      </c>
      <c r="B16" s="34" t="s">
        <v>251</v>
      </c>
      <c r="C16" s="66"/>
      <c r="D16" s="28"/>
      <c r="E16" s="28"/>
      <c r="F16" s="25">
        <v>40</v>
      </c>
      <c r="G16" s="28"/>
      <c r="H16" s="23"/>
      <c r="I16" s="61"/>
      <c r="J16" s="62"/>
      <c r="K16" s="28"/>
      <c r="L16" s="62"/>
      <c r="M16" s="62"/>
      <c r="N16" s="62"/>
      <c r="O16" s="25"/>
      <c r="P16" s="25"/>
      <c r="Q16" s="23"/>
      <c r="R16" s="23"/>
      <c r="S16" s="23"/>
      <c r="T16" s="32"/>
    </row>
    <row r="17" spans="1:20" ht="20.25" customHeight="1">
      <c r="A17" s="63" t="s">
        <v>252</v>
      </c>
      <c r="B17" s="64"/>
      <c r="C17" s="65"/>
      <c r="D17" s="28"/>
      <c r="E17" s="28"/>
      <c r="F17" s="25"/>
      <c r="G17" s="28"/>
      <c r="H17" s="28"/>
      <c r="I17" s="61"/>
      <c r="J17" s="62"/>
      <c r="K17" s="28"/>
      <c r="L17" s="62"/>
      <c r="M17" s="62"/>
      <c r="N17" s="62"/>
      <c r="O17" s="25"/>
      <c r="P17" s="25"/>
      <c r="Q17" s="23"/>
      <c r="R17" s="23"/>
      <c r="S17" s="23"/>
      <c r="T17" s="32"/>
    </row>
    <row r="18" spans="1:20" ht="20.25" customHeight="1">
      <c r="A18" s="34">
        <v>1</v>
      </c>
      <c r="B18" s="34" t="s">
        <v>256</v>
      </c>
      <c r="C18" s="54"/>
      <c r="D18" s="28"/>
      <c r="E18" s="28"/>
      <c r="F18" s="25"/>
      <c r="G18" s="28"/>
      <c r="H18" s="28"/>
      <c r="I18" s="61"/>
      <c r="J18" s="62"/>
      <c r="K18" s="28"/>
      <c r="L18" s="62"/>
      <c r="M18" s="62"/>
      <c r="N18" s="62"/>
      <c r="O18" s="25"/>
      <c r="P18" s="25"/>
      <c r="Q18" s="23"/>
      <c r="R18" s="23"/>
      <c r="S18" s="23"/>
      <c r="T18" s="32"/>
    </row>
    <row r="19" spans="1:20" ht="20.25" customHeight="1">
      <c r="A19" s="34">
        <v>2</v>
      </c>
      <c r="B19" s="34" t="s">
        <v>257</v>
      </c>
      <c r="C19" s="54"/>
      <c r="D19" s="28"/>
      <c r="E19" s="28"/>
      <c r="F19" s="25"/>
      <c r="H19" s="28"/>
      <c r="I19" s="61"/>
      <c r="J19" s="62"/>
      <c r="K19" s="28"/>
      <c r="L19" s="62"/>
      <c r="M19" s="62"/>
      <c r="N19" s="62"/>
      <c r="O19" s="25"/>
      <c r="P19" s="25"/>
      <c r="Q19" s="23"/>
      <c r="R19" s="23"/>
      <c r="S19" s="23"/>
      <c r="T19" s="32"/>
    </row>
    <row r="20" spans="1:20" ht="20.25" customHeight="1">
      <c r="A20" s="34">
        <v>3</v>
      </c>
      <c r="B20" s="34" t="s">
        <v>258</v>
      </c>
      <c r="C20" s="54"/>
      <c r="D20" s="28"/>
      <c r="E20" s="28"/>
      <c r="F20" s="25"/>
      <c r="G20" s="28"/>
      <c r="H20" s="28"/>
      <c r="I20" s="61"/>
      <c r="J20" s="62"/>
      <c r="K20" s="28"/>
      <c r="L20" s="62"/>
      <c r="M20" s="62"/>
      <c r="N20" s="62"/>
      <c r="O20" s="25"/>
      <c r="P20" s="25"/>
      <c r="Q20" s="23"/>
      <c r="R20" s="23"/>
      <c r="S20" s="23"/>
      <c r="T20" s="32"/>
    </row>
    <row r="21" spans="1:20" ht="20.25" customHeight="1">
      <c r="A21" s="34">
        <v>4</v>
      </c>
      <c r="B21" s="34" t="s">
        <v>259</v>
      </c>
      <c r="C21" s="54"/>
      <c r="D21" s="28"/>
      <c r="E21" s="28"/>
      <c r="F21" s="25">
        <v>76</v>
      </c>
      <c r="G21" s="28"/>
      <c r="H21" s="28"/>
      <c r="I21" s="61"/>
      <c r="J21" s="62"/>
      <c r="K21" s="23"/>
      <c r="L21" s="62"/>
      <c r="M21" s="62"/>
      <c r="N21" s="62"/>
      <c r="O21" s="25"/>
      <c r="P21" s="25"/>
      <c r="Q21" s="23"/>
      <c r="R21" s="23"/>
      <c r="S21" s="23"/>
      <c r="T21" s="32"/>
    </row>
    <row r="22" spans="1:20" ht="20.25" customHeight="1">
      <c r="A22" s="34">
        <v>5</v>
      </c>
      <c r="B22" s="34" t="s">
        <v>260</v>
      </c>
      <c r="C22" s="54"/>
      <c r="D22" s="28"/>
      <c r="E22" s="28"/>
      <c r="F22" s="25"/>
      <c r="G22" s="28"/>
      <c r="H22" s="28"/>
      <c r="I22" s="61"/>
      <c r="J22" s="62"/>
      <c r="K22" s="28"/>
      <c r="L22" s="62"/>
      <c r="M22" s="62"/>
      <c r="N22" s="62"/>
      <c r="O22" s="25"/>
      <c r="P22" s="25"/>
      <c r="Q22" s="23"/>
      <c r="R22" s="23"/>
      <c r="S22" s="23"/>
      <c r="T22" s="32"/>
    </row>
    <row r="23" spans="1:20" ht="20.25" customHeight="1">
      <c r="A23" s="34">
        <v>6</v>
      </c>
      <c r="B23" s="34" t="s">
        <v>261</v>
      </c>
      <c r="C23" s="54"/>
      <c r="D23" s="28"/>
      <c r="E23" s="28"/>
      <c r="F23" s="25"/>
      <c r="G23" s="28"/>
      <c r="H23" s="28"/>
      <c r="I23" s="61"/>
      <c r="J23" s="62"/>
      <c r="K23" s="28"/>
      <c r="L23" s="62"/>
      <c r="M23" s="62"/>
      <c r="N23" s="62"/>
      <c r="O23" s="25"/>
      <c r="P23" s="25"/>
      <c r="Q23" s="23"/>
      <c r="R23" s="23"/>
      <c r="S23" s="23"/>
      <c r="T23" s="32"/>
    </row>
    <row r="24" spans="1:20" ht="20.25" customHeight="1">
      <c r="A24" s="34">
        <v>7</v>
      </c>
      <c r="B24" s="34" t="s">
        <v>263</v>
      </c>
      <c r="C24" s="54"/>
      <c r="D24" s="28"/>
      <c r="E24" s="28"/>
      <c r="F24" s="25"/>
      <c r="G24" s="28"/>
      <c r="H24" s="28"/>
      <c r="I24" s="61"/>
      <c r="J24" s="62"/>
      <c r="K24" s="28"/>
      <c r="L24" s="62"/>
      <c r="M24" s="62"/>
      <c r="N24" s="62"/>
      <c r="O24" s="25"/>
      <c r="P24" s="25"/>
      <c r="Q24" s="23"/>
      <c r="R24" s="23"/>
      <c r="S24" s="23"/>
      <c r="T24" s="32"/>
    </row>
    <row r="25" spans="1:20" ht="20.25" customHeight="1">
      <c r="A25" s="34">
        <v>8</v>
      </c>
      <c r="B25" s="34" t="s">
        <v>264</v>
      </c>
      <c r="C25" s="54"/>
      <c r="D25" s="28"/>
      <c r="E25" s="28"/>
      <c r="F25" s="25">
        <v>72</v>
      </c>
      <c r="H25" s="28"/>
      <c r="I25" s="61"/>
      <c r="J25" s="62"/>
      <c r="K25" s="28"/>
      <c r="L25" s="62"/>
      <c r="M25" s="62"/>
      <c r="N25" s="62"/>
      <c r="O25" s="25"/>
      <c r="P25" s="25"/>
      <c r="Q25" s="23"/>
      <c r="R25" s="23"/>
      <c r="S25" s="23"/>
      <c r="T25" s="32"/>
    </row>
    <row r="26" spans="1:20" ht="20.25" customHeight="1">
      <c r="A26" s="34">
        <v>9</v>
      </c>
      <c r="B26" s="34" t="s">
        <v>265</v>
      </c>
      <c r="C26" s="54"/>
      <c r="D26" s="28"/>
      <c r="E26" s="28"/>
      <c r="F26" s="25">
        <v>76</v>
      </c>
      <c r="G26" s="28"/>
      <c r="H26" s="28"/>
      <c r="I26" s="61"/>
      <c r="J26" s="62"/>
      <c r="K26" s="23"/>
      <c r="L26" s="62"/>
      <c r="M26" s="62"/>
      <c r="N26" s="62"/>
      <c r="O26" s="25"/>
      <c r="P26" s="25"/>
      <c r="Q26" s="23"/>
      <c r="R26" s="23"/>
      <c r="S26" s="23"/>
      <c r="T26" s="32"/>
    </row>
    <row r="27" spans="1:20" ht="20.25" customHeight="1">
      <c r="A27" s="34">
        <v>10</v>
      </c>
      <c r="B27" s="34" t="s">
        <v>266</v>
      </c>
      <c r="C27" s="54"/>
      <c r="D27" s="28"/>
      <c r="E27" s="28"/>
      <c r="F27" s="25">
        <v>112</v>
      </c>
      <c r="G27" s="28"/>
      <c r="H27" s="28"/>
      <c r="I27" s="61"/>
      <c r="J27" s="62"/>
      <c r="K27" s="28"/>
      <c r="L27" s="62"/>
      <c r="M27" s="62"/>
      <c r="N27" s="62"/>
      <c r="O27" s="25"/>
      <c r="P27" s="25"/>
      <c r="Q27" s="23"/>
      <c r="R27" s="23"/>
      <c r="S27" s="23"/>
      <c r="T27" s="32"/>
    </row>
    <row r="28" spans="1:20" ht="20.25" customHeight="1">
      <c r="A28" s="63" t="s">
        <v>267</v>
      </c>
      <c r="B28" s="64"/>
      <c r="C28" s="65"/>
      <c r="D28" s="28"/>
      <c r="E28" s="28"/>
      <c r="F28" s="25"/>
      <c r="G28" s="28"/>
      <c r="H28" s="28"/>
      <c r="I28" s="61"/>
      <c r="J28" s="62"/>
      <c r="K28" s="28"/>
      <c r="L28" s="62"/>
      <c r="M28" s="62"/>
      <c r="N28" s="62"/>
      <c r="O28" s="25"/>
      <c r="P28" s="25"/>
      <c r="Q28" s="23"/>
      <c r="R28" s="23"/>
      <c r="S28" s="23"/>
      <c r="T28" s="32"/>
    </row>
    <row r="29" spans="1:20" ht="20.25" customHeight="1">
      <c r="A29" s="34">
        <v>1</v>
      </c>
      <c r="B29" s="34" t="s">
        <v>268</v>
      </c>
      <c r="C29" s="54">
        <v>20</v>
      </c>
      <c r="D29" s="28"/>
      <c r="E29" s="28"/>
      <c r="F29" s="25"/>
      <c r="G29" s="28"/>
      <c r="H29" s="28"/>
      <c r="I29" s="61"/>
      <c r="J29" s="62"/>
      <c r="K29" s="28"/>
      <c r="L29" s="62"/>
      <c r="M29" s="62"/>
      <c r="N29" s="62"/>
      <c r="O29" s="25"/>
      <c r="P29" s="25"/>
      <c r="Q29" s="23"/>
      <c r="R29" s="23"/>
      <c r="S29" s="23"/>
      <c r="T29" s="32"/>
    </row>
    <row r="30" spans="1:20" ht="20.25" customHeight="1">
      <c r="A30" s="63" t="s">
        <v>269</v>
      </c>
      <c r="B30" s="64"/>
      <c r="C30" s="65"/>
      <c r="D30" s="28"/>
      <c r="E30" s="28"/>
      <c r="F30" s="25"/>
      <c r="G30" s="28"/>
      <c r="H30" s="28"/>
      <c r="I30" s="61"/>
      <c r="J30" s="62"/>
      <c r="K30" s="28"/>
      <c r="L30" s="62"/>
      <c r="M30" s="62"/>
      <c r="N30" s="62"/>
      <c r="O30" s="25"/>
      <c r="P30" s="25"/>
      <c r="Q30" s="23"/>
      <c r="R30" s="23"/>
      <c r="S30" s="23"/>
      <c r="T30" s="32"/>
    </row>
    <row r="31" spans="1:20" ht="20.25" customHeight="1">
      <c r="A31" s="34">
        <v>1</v>
      </c>
      <c r="B31" s="34" t="s">
        <v>270</v>
      </c>
      <c r="C31" s="36"/>
      <c r="D31" s="28"/>
      <c r="E31" s="28">
        <v>4</v>
      </c>
      <c r="F31" s="25"/>
      <c r="G31" s="28"/>
      <c r="H31" s="28"/>
      <c r="I31" s="61"/>
      <c r="J31" s="62"/>
      <c r="K31" s="28"/>
      <c r="L31" s="62"/>
      <c r="M31" s="62"/>
      <c r="N31" s="62"/>
      <c r="O31" s="25"/>
      <c r="P31" s="25"/>
      <c r="Q31" s="23"/>
      <c r="R31" s="23"/>
      <c r="S31" s="23"/>
      <c r="T31" s="32"/>
    </row>
    <row r="32" spans="1:20" ht="20.25" customHeight="1">
      <c r="A32" s="34">
        <v>2</v>
      </c>
      <c r="B32" s="34" t="s">
        <v>271</v>
      </c>
      <c r="C32" s="36"/>
      <c r="D32" s="28"/>
      <c r="E32" s="28"/>
      <c r="F32" s="25"/>
      <c r="G32" s="28"/>
      <c r="H32" s="28"/>
      <c r="I32" s="61"/>
      <c r="J32" s="62"/>
      <c r="K32" s="28"/>
      <c r="L32" s="62"/>
      <c r="M32" s="62"/>
      <c r="N32" s="62"/>
      <c r="O32" s="25"/>
      <c r="P32" s="25"/>
      <c r="Q32" s="23"/>
      <c r="R32" s="23"/>
      <c r="S32" s="23"/>
      <c r="T32" s="32"/>
    </row>
    <row r="33" spans="1:20" ht="20.25" customHeight="1">
      <c r="A33" s="34">
        <v>3</v>
      </c>
      <c r="B33" s="34" t="s">
        <v>272</v>
      </c>
      <c r="C33" s="36"/>
      <c r="D33" s="28"/>
      <c r="E33" s="28"/>
      <c r="F33" s="25">
        <v>72</v>
      </c>
      <c r="G33" s="28"/>
      <c r="H33" s="28"/>
      <c r="I33" s="61"/>
      <c r="J33" s="62"/>
      <c r="K33" s="28"/>
      <c r="L33" s="62"/>
      <c r="M33" s="62"/>
      <c r="N33" s="62"/>
      <c r="O33" s="25"/>
      <c r="P33" s="25"/>
      <c r="Q33" s="23"/>
      <c r="R33" s="23"/>
      <c r="S33" s="23"/>
      <c r="T33" s="32"/>
    </row>
    <row r="34" spans="1:20" ht="20.25" customHeight="1">
      <c r="A34" s="34">
        <v>4</v>
      </c>
      <c r="B34" s="34" t="s">
        <v>273</v>
      </c>
      <c r="C34" s="36"/>
      <c r="D34" s="28"/>
      <c r="E34" s="28"/>
      <c r="F34" s="25">
        <v>32</v>
      </c>
      <c r="G34" s="28"/>
      <c r="H34" s="28"/>
      <c r="I34" s="61"/>
      <c r="J34" s="62"/>
      <c r="K34" s="28"/>
      <c r="L34" s="62"/>
      <c r="M34" s="62"/>
      <c r="N34" s="62"/>
      <c r="O34" s="25"/>
      <c r="P34" s="25"/>
      <c r="Q34" s="23"/>
      <c r="R34" s="23"/>
      <c r="S34" s="23"/>
      <c r="T34" s="32"/>
    </row>
    <row r="35" spans="1:20" ht="20.25" customHeight="1">
      <c r="A35" s="63" t="s">
        <v>274</v>
      </c>
      <c r="B35" s="34"/>
      <c r="C35" s="36"/>
      <c r="D35" s="28"/>
      <c r="E35" s="28"/>
      <c r="F35" s="25"/>
      <c r="G35" s="28"/>
      <c r="H35" s="28"/>
      <c r="I35" s="61"/>
      <c r="J35" s="62"/>
      <c r="K35" s="28"/>
      <c r="L35" s="62"/>
      <c r="M35" s="62"/>
      <c r="N35" s="62"/>
      <c r="O35" s="25"/>
      <c r="P35" s="25"/>
      <c r="Q35" s="23"/>
      <c r="R35" s="23"/>
      <c r="S35" s="23"/>
      <c r="T35" s="32"/>
    </row>
    <row r="36" spans="1:20" ht="20.25" customHeight="1">
      <c r="A36" s="34">
        <v>1</v>
      </c>
      <c r="B36" s="34" t="s">
        <v>275</v>
      </c>
      <c r="C36" s="12"/>
      <c r="D36" s="28"/>
      <c r="E36" s="28"/>
      <c r="F36" s="25"/>
      <c r="G36" s="28"/>
      <c r="H36" s="28"/>
      <c r="I36" s="61"/>
      <c r="J36" s="62"/>
      <c r="K36" s="28"/>
      <c r="L36" s="62"/>
      <c r="M36" s="62"/>
      <c r="N36" s="62"/>
      <c r="O36" s="25"/>
      <c r="P36" s="25"/>
      <c r="Q36" s="23"/>
      <c r="R36" s="23"/>
      <c r="S36" s="23"/>
      <c r="T36" s="32"/>
    </row>
    <row r="37" spans="1:20" ht="20.25" customHeight="1">
      <c r="A37" s="34">
        <v>2</v>
      </c>
      <c r="B37" s="34" t="s">
        <v>276</v>
      </c>
      <c r="C37" s="36"/>
      <c r="D37" s="23"/>
      <c r="E37" s="23"/>
      <c r="F37" s="25"/>
      <c r="G37" s="28"/>
      <c r="H37" s="23"/>
      <c r="I37" s="61"/>
      <c r="J37" s="62"/>
      <c r="K37" s="28"/>
      <c r="L37" s="62"/>
      <c r="M37" s="62"/>
      <c r="N37" s="62"/>
      <c r="O37" s="25"/>
      <c r="P37" s="25"/>
      <c r="Q37" s="23"/>
      <c r="R37" s="23"/>
      <c r="S37" s="23"/>
      <c r="T37" s="34"/>
    </row>
    <row r="38" spans="1:20" ht="20.25" customHeight="1">
      <c r="A38" s="34">
        <v>3</v>
      </c>
      <c r="B38" s="34" t="s">
        <v>277</v>
      </c>
      <c r="C38" s="36"/>
      <c r="D38" s="23"/>
      <c r="E38" s="23"/>
      <c r="F38" s="25">
        <v>1.5</v>
      </c>
      <c r="G38" s="28"/>
      <c r="H38" s="23"/>
      <c r="I38" s="61"/>
      <c r="J38" s="62"/>
      <c r="K38" s="28"/>
      <c r="L38" s="62"/>
      <c r="M38" s="62"/>
      <c r="N38" s="62"/>
      <c r="O38" s="25"/>
      <c r="P38" s="25"/>
      <c r="Q38" s="23"/>
      <c r="R38" s="23"/>
      <c r="S38" s="23"/>
      <c r="T38" s="34"/>
    </row>
    <row r="39" spans="1:20" ht="20.25" customHeight="1">
      <c r="A39" s="34">
        <v>4</v>
      </c>
      <c r="B39" s="34" t="s">
        <v>278</v>
      </c>
      <c r="C39" s="36"/>
      <c r="D39" s="23"/>
      <c r="E39" s="23"/>
      <c r="F39" s="25">
        <v>40</v>
      </c>
      <c r="G39" s="28"/>
      <c r="H39" s="23"/>
      <c r="I39" s="61"/>
      <c r="J39" s="62"/>
      <c r="K39" s="28"/>
      <c r="L39" s="62"/>
      <c r="M39" s="62"/>
      <c r="N39" s="62"/>
      <c r="O39" s="25"/>
      <c r="P39" s="25"/>
      <c r="Q39" s="23"/>
      <c r="R39" s="23"/>
      <c r="S39" s="23"/>
      <c r="T39" s="34"/>
    </row>
    <row r="40" spans="1:20" ht="20.25" customHeight="1">
      <c r="A40" s="34">
        <v>5</v>
      </c>
      <c r="B40" s="34" t="s">
        <v>279</v>
      </c>
      <c r="C40" s="12"/>
      <c r="D40" s="28"/>
      <c r="E40" s="28"/>
      <c r="F40" s="25">
        <v>0.5</v>
      </c>
      <c r="G40" s="28"/>
      <c r="H40" s="28"/>
      <c r="I40" s="61"/>
      <c r="J40" s="62"/>
      <c r="K40" s="28"/>
      <c r="L40" s="62"/>
      <c r="M40" s="62"/>
      <c r="N40" s="62"/>
      <c r="O40" s="25"/>
      <c r="P40" s="25"/>
      <c r="Q40" s="23"/>
      <c r="R40" s="23"/>
      <c r="S40" s="23"/>
      <c r="T40" s="32"/>
    </row>
    <row r="41" spans="1:20" ht="20.25" customHeight="1">
      <c r="A41" s="63" t="s">
        <v>280</v>
      </c>
      <c r="B41" s="34"/>
      <c r="C41" s="12"/>
      <c r="D41" s="28"/>
      <c r="E41" s="28"/>
      <c r="F41" s="25"/>
      <c r="G41" s="28"/>
      <c r="H41" s="28"/>
      <c r="I41" s="61"/>
      <c r="J41" s="62"/>
      <c r="K41" s="28"/>
      <c r="L41" s="62"/>
      <c r="M41" s="62"/>
      <c r="N41" s="62"/>
      <c r="O41" s="25"/>
      <c r="P41" s="25"/>
      <c r="Q41" s="23"/>
      <c r="R41" s="23"/>
      <c r="S41" s="23"/>
      <c r="T41" s="32"/>
    </row>
    <row r="42" spans="1:20" ht="20.25" customHeight="1">
      <c r="A42" s="34">
        <v>1</v>
      </c>
      <c r="B42" s="34" t="s">
        <v>281</v>
      </c>
      <c r="C42" s="36"/>
      <c r="D42" s="28"/>
      <c r="E42" s="28"/>
      <c r="F42" s="25"/>
      <c r="G42" s="28"/>
      <c r="H42" s="28"/>
      <c r="I42" s="61"/>
      <c r="J42" s="62"/>
      <c r="K42" s="28"/>
      <c r="L42" s="62"/>
      <c r="M42" s="62"/>
      <c r="N42" s="62"/>
      <c r="O42" s="25"/>
      <c r="P42" s="25"/>
      <c r="Q42" s="23"/>
      <c r="R42" s="23"/>
      <c r="S42" s="23"/>
      <c r="T42" s="32"/>
    </row>
    <row r="43" spans="1:20" ht="20.25" customHeight="1">
      <c r="A43" s="34">
        <v>2</v>
      </c>
      <c r="B43" s="34" t="s">
        <v>282</v>
      </c>
      <c r="C43" s="12"/>
      <c r="D43" s="28"/>
      <c r="E43" s="28"/>
      <c r="F43" s="25"/>
      <c r="G43" s="28"/>
      <c r="H43" s="28"/>
      <c r="I43" s="61"/>
      <c r="J43" s="62"/>
      <c r="K43" s="28"/>
      <c r="L43" s="62"/>
      <c r="M43" s="62"/>
      <c r="N43" s="62"/>
      <c r="O43" s="25"/>
      <c r="P43" s="25"/>
      <c r="Q43" s="23"/>
      <c r="R43" s="23"/>
      <c r="S43" s="23"/>
      <c r="T43" s="32"/>
    </row>
    <row r="44" spans="1:20" ht="20.25" customHeight="1">
      <c r="A44" s="34">
        <v>3</v>
      </c>
      <c r="B44" s="34" t="s">
        <v>283</v>
      </c>
      <c r="C44" s="12"/>
      <c r="D44" s="28"/>
      <c r="E44" s="28"/>
      <c r="F44" s="25">
        <v>44</v>
      </c>
      <c r="G44" s="28"/>
      <c r="H44" s="28"/>
      <c r="I44" s="61"/>
      <c r="J44" s="62"/>
      <c r="K44" s="28"/>
      <c r="L44" s="62"/>
      <c r="M44" s="62"/>
      <c r="N44" s="62"/>
      <c r="O44" s="25"/>
      <c r="P44" s="25"/>
      <c r="Q44" s="23"/>
      <c r="R44" s="23"/>
      <c r="S44" s="23"/>
      <c r="T44" s="32"/>
    </row>
    <row r="45" spans="1:20" ht="20.25" customHeight="1">
      <c r="A45" s="34">
        <v>4</v>
      </c>
      <c r="B45" s="34" t="s">
        <v>284</v>
      </c>
      <c r="C45" s="12"/>
      <c r="D45" s="28"/>
      <c r="E45" s="28"/>
      <c r="F45" s="25">
        <v>43</v>
      </c>
      <c r="G45" s="28"/>
      <c r="H45" s="28"/>
      <c r="I45" s="61"/>
      <c r="J45" s="62"/>
      <c r="K45" s="28"/>
      <c r="L45" s="62"/>
      <c r="M45" s="62"/>
      <c r="N45" s="62"/>
      <c r="O45" s="25"/>
      <c r="P45" s="25"/>
      <c r="Q45" s="23"/>
      <c r="R45" s="23"/>
      <c r="S45" s="23"/>
      <c r="T45" s="32"/>
    </row>
    <row r="46" spans="1:20" ht="20.25" customHeight="1">
      <c r="A46" s="34">
        <v>5</v>
      </c>
      <c r="B46" s="34" t="s">
        <v>285</v>
      </c>
      <c r="C46" s="12"/>
      <c r="D46" s="28"/>
      <c r="E46" s="28"/>
      <c r="F46" s="25">
        <v>80</v>
      </c>
      <c r="G46" s="28"/>
      <c r="H46" s="28"/>
      <c r="I46" s="61"/>
      <c r="J46" s="62"/>
      <c r="K46" s="28"/>
      <c r="L46" s="62"/>
      <c r="M46" s="62"/>
      <c r="N46" s="62"/>
      <c r="O46" s="25"/>
      <c r="P46" s="25"/>
      <c r="Q46" s="23"/>
      <c r="R46" s="23"/>
      <c r="S46" s="23"/>
      <c r="T46" s="32"/>
    </row>
    <row r="47" spans="1:20" ht="20.25" customHeight="1">
      <c r="A47" s="63" t="s">
        <v>286</v>
      </c>
      <c r="B47" s="34"/>
      <c r="C47" s="12"/>
      <c r="D47" s="28"/>
      <c r="E47" s="28"/>
      <c r="F47" s="25"/>
      <c r="G47" s="28"/>
      <c r="H47" s="28"/>
      <c r="I47" s="61"/>
      <c r="J47" s="62"/>
      <c r="K47" s="28"/>
      <c r="L47" s="62"/>
      <c r="M47" s="62"/>
      <c r="N47" s="62"/>
      <c r="O47" s="25"/>
      <c r="P47" s="25"/>
      <c r="Q47" s="23"/>
      <c r="R47" s="23"/>
      <c r="S47" s="23"/>
      <c r="T47" s="32"/>
    </row>
    <row r="48" spans="1:20" ht="20.25" customHeight="1">
      <c r="A48" s="34">
        <v>1</v>
      </c>
      <c r="B48" s="34" t="s">
        <v>287</v>
      </c>
      <c r="C48" s="36"/>
      <c r="D48" s="28"/>
      <c r="E48" s="28"/>
      <c r="F48" s="25"/>
      <c r="G48" s="28"/>
      <c r="H48" s="28"/>
      <c r="I48" s="61"/>
      <c r="J48" s="62"/>
      <c r="K48" s="28"/>
      <c r="L48" s="62"/>
      <c r="M48" s="62"/>
      <c r="N48" s="62"/>
      <c r="O48" s="25"/>
      <c r="P48" s="25"/>
      <c r="Q48" s="23"/>
      <c r="R48" s="23"/>
      <c r="S48" s="23"/>
      <c r="T48" s="32"/>
    </row>
    <row r="49" spans="1:20" ht="20.25" customHeight="1">
      <c r="A49" s="34">
        <v>2</v>
      </c>
      <c r="B49" s="34" t="s">
        <v>288</v>
      </c>
      <c r="C49" s="12"/>
      <c r="D49" s="28"/>
      <c r="E49" s="28"/>
      <c r="F49" s="25">
        <v>16</v>
      </c>
      <c r="G49" s="28"/>
      <c r="H49" s="28"/>
      <c r="I49" s="61"/>
      <c r="J49" s="62"/>
      <c r="K49" s="28"/>
      <c r="L49" s="62"/>
      <c r="M49" s="62"/>
      <c r="N49" s="62"/>
      <c r="O49" s="25"/>
      <c r="P49" s="25"/>
      <c r="Q49" s="23"/>
      <c r="R49" s="23"/>
      <c r="S49" s="23"/>
      <c r="T49" s="32"/>
    </row>
    <row r="50" spans="1:20" ht="20.25" customHeight="1">
      <c r="A50" s="34">
        <v>3</v>
      </c>
      <c r="B50" s="34" t="s">
        <v>289</v>
      </c>
      <c r="C50" s="12"/>
      <c r="D50" s="28"/>
      <c r="E50" s="28"/>
      <c r="F50" s="25">
        <v>80</v>
      </c>
      <c r="G50" s="28"/>
      <c r="H50" s="28"/>
      <c r="I50" s="61"/>
      <c r="J50" s="62"/>
      <c r="K50" s="28"/>
      <c r="L50" s="62"/>
      <c r="M50" s="62"/>
      <c r="N50" s="62"/>
      <c r="O50" s="25"/>
      <c r="P50" s="25"/>
      <c r="Q50" s="23"/>
      <c r="R50" s="23"/>
      <c r="S50" s="23"/>
      <c r="T50" s="32"/>
    </row>
    <row r="51" spans="1:20" ht="20.25" customHeight="1">
      <c r="A51" s="63" t="s">
        <v>290</v>
      </c>
      <c r="B51" s="34"/>
      <c r="C51" s="12"/>
      <c r="D51" s="28"/>
      <c r="E51" s="28"/>
      <c r="F51" s="25"/>
      <c r="G51" s="28"/>
      <c r="H51" s="28"/>
      <c r="I51" s="61"/>
      <c r="J51" s="62"/>
      <c r="K51" s="28"/>
      <c r="L51" s="62"/>
      <c r="M51" s="62"/>
      <c r="N51" s="62"/>
      <c r="O51" s="25"/>
      <c r="P51" s="25"/>
      <c r="Q51" s="23"/>
      <c r="R51" s="23"/>
      <c r="S51" s="23"/>
      <c r="T51" s="32"/>
    </row>
    <row r="52" spans="1:20" ht="20.25" customHeight="1">
      <c r="A52" s="34">
        <v>1</v>
      </c>
      <c r="B52" s="43" t="s">
        <v>291</v>
      </c>
      <c r="C52" s="12"/>
      <c r="D52" s="28"/>
      <c r="E52" s="28"/>
      <c r="F52" s="25"/>
      <c r="G52" s="28"/>
      <c r="H52" s="28"/>
      <c r="I52" s="61"/>
      <c r="J52" s="62"/>
      <c r="K52" s="28"/>
      <c r="L52" s="62"/>
      <c r="M52" s="62"/>
      <c r="N52" s="62"/>
      <c r="O52" s="25"/>
      <c r="P52" s="25"/>
      <c r="Q52" s="23"/>
      <c r="R52" s="23"/>
      <c r="S52" s="23"/>
      <c r="T52" s="32"/>
    </row>
    <row r="53" spans="1:20" ht="20.25" customHeight="1">
      <c r="A53" s="34">
        <v>2</v>
      </c>
      <c r="B53" s="34" t="s">
        <v>292</v>
      </c>
      <c r="C53" s="12"/>
      <c r="D53" s="28"/>
      <c r="E53" s="28"/>
      <c r="F53" s="25">
        <v>40</v>
      </c>
      <c r="G53" s="28"/>
      <c r="H53" s="28"/>
      <c r="I53" s="61"/>
      <c r="J53" s="62"/>
      <c r="K53" s="28"/>
      <c r="L53" s="62"/>
      <c r="M53" s="62"/>
      <c r="N53" s="62"/>
      <c r="O53" s="25"/>
      <c r="P53" s="25"/>
      <c r="Q53" s="23"/>
      <c r="R53" s="23"/>
      <c r="S53" s="23"/>
      <c r="T53" s="32"/>
    </row>
    <row r="54" spans="1:20" ht="20.25" customHeight="1">
      <c r="A54" s="34">
        <v>3</v>
      </c>
      <c r="B54" s="34" t="s">
        <v>293</v>
      </c>
      <c r="C54" s="12"/>
      <c r="D54" s="28"/>
      <c r="E54" s="28"/>
      <c r="F54" s="25">
        <v>72</v>
      </c>
      <c r="G54" s="28"/>
      <c r="H54" s="28"/>
      <c r="I54" s="61"/>
      <c r="J54" s="62"/>
      <c r="K54" s="28"/>
      <c r="L54" s="62"/>
      <c r="M54" s="62"/>
      <c r="N54" s="62"/>
      <c r="O54" s="25"/>
      <c r="P54" s="25"/>
      <c r="Q54" s="23"/>
      <c r="R54" s="23"/>
      <c r="S54" s="23"/>
      <c r="T54" s="32"/>
    </row>
    <row r="55" spans="1:20" ht="20.25" customHeight="1">
      <c r="A55" s="34">
        <v>4</v>
      </c>
      <c r="B55" s="34" t="s">
        <v>294</v>
      </c>
      <c r="C55" s="12"/>
      <c r="D55" s="23"/>
      <c r="E55" s="28"/>
      <c r="F55" s="25">
        <v>72</v>
      </c>
      <c r="G55" s="28"/>
      <c r="H55" s="28"/>
      <c r="I55" s="61"/>
      <c r="J55" s="62"/>
      <c r="K55" s="28"/>
      <c r="L55" s="62"/>
      <c r="M55" s="62"/>
      <c r="N55" s="62"/>
      <c r="O55" s="25"/>
      <c r="P55" s="25"/>
      <c r="Q55" s="23"/>
      <c r="R55" s="23"/>
      <c r="S55" s="23"/>
      <c r="T55" s="32"/>
    </row>
    <row r="56" spans="1:20" ht="20.25" customHeight="1">
      <c r="A56" s="34">
        <v>5</v>
      </c>
      <c r="B56" s="34" t="s">
        <v>295</v>
      </c>
      <c r="C56" s="12"/>
      <c r="D56" s="61"/>
      <c r="E56" s="28"/>
      <c r="F56" s="25">
        <v>64</v>
      </c>
      <c r="G56" s="23"/>
      <c r="H56" s="28"/>
      <c r="I56" s="61"/>
      <c r="J56" s="62"/>
      <c r="K56" s="28"/>
      <c r="L56" s="62"/>
      <c r="M56" s="62"/>
      <c r="N56" s="62"/>
      <c r="O56" s="25"/>
      <c r="P56" s="25"/>
      <c r="Q56" s="23"/>
      <c r="R56" s="23"/>
      <c r="S56" s="23"/>
      <c r="T56" s="32"/>
    </row>
    <row r="57" spans="1:20" ht="20.25" customHeight="1">
      <c r="A57" s="34">
        <v>6</v>
      </c>
      <c r="B57" s="34" t="s">
        <v>296</v>
      </c>
      <c r="C57" s="12"/>
      <c r="D57" s="61"/>
      <c r="E57" s="28"/>
      <c r="F57" s="25">
        <v>80</v>
      </c>
      <c r="G57" s="23"/>
      <c r="H57" s="28"/>
      <c r="I57" s="61"/>
      <c r="J57" s="62"/>
      <c r="K57" s="28"/>
      <c r="L57" s="62"/>
      <c r="M57" s="62"/>
      <c r="N57" s="62"/>
      <c r="O57" s="25"/>
      <c r="P57" s="25"/>
      <c r="Q57" s="23"/>
      <c r="R57" s="23"/>
      <c r="S57" s="23"/>
      <c r="T57" s="32"/>
    </row>
    <row r="58" spans="1:20" ht="20.25" customHeight="1">
      <c r="A58" s="34">
        <v>7</v>
      </c>
      <c r="B58" s="34" t="s">
        <v>297</v>
      </c>
      <c r="C58" s="12"/>
      <c r="D58" s="61"/>
      <c r="E58" s="28"/>
      <c r="F58" s="25">
        <v>72</v>
      </c>
      <c r="G58" s="23"/>
      <c r="H58" s="28"/>
      <c r="I58" s="61"/>
      <c r="J58" s="62"/>
      <c r="K58" s="28"/>
      <c r="L58" s="62"/>
      <c r="M58" s="62"/>
      <c r="N58" s="62"/>
      <c r="O58" s="25"/>
      <c r="P58" s="25"/>
      <c r="Q58" s="23"/>
      <c r="R58" s="23"/>
      <c r="S58" s="23"/>
      <c r="T58" s="32"/>
    </row>
    <row r="59" spans="1:20" ht="20.25" customHeight="1">
      <c r="A59" s="34">
        <v>8</v>
      </c>
      <c r="B59" s="34" t="s">
        <v>298</v>
      </c>
      <c r="C59" s="12"/>
      <c r="D59" s="61"/>
      <c r="E59" s="28"/>
      <c r="F59" s="25">
        <v>80</v>
      </c>
      <c r="G59" s="23"/>
      <c r="H59" s="28"/>
      <c r="I59" s="61"/>
      <c r="J59" s="62"/>
      <c r="K59" s="28"/>
      <c r="L59" s="62"/>
      <c r="M59" s="62"/>
      <c r="N59" s="62"/>
      <c r="O59" s="25"/>
      <c r="P59" s="25"/>
      <c r="Q59" s="23"/>
      <c r="R59" s="23"/>
      <c r="S59" s="23"/>
      <c r="T59" s="32"/>
    </row>
    <row r="60" spans="1:20" ht="20.25" customHeight="1">
      <c r="A60" s="34">
        <v>9</v>
      </c>
      <c r="B60" s="34" t="s">
        <v>299</v>
      </c>
      <c r="C60" s="12"/>
      <c r="D60" s="61"/>
      <c r="E60" s="28"/>
      <c r="F60" s="25">
        <v>64</v>
      </c>
      <c r="G60" s="23"/>
      <c r="H60" s="28"/>
      <c r="I60" s="61"/>
      <c r="J60" s="62"/>
      <c r="K60" s="28"/>
      <c r="L60" s="62"/>
      <c r="M60" s="62"/>
      <c r="N60" s="62"/>
      <c r="O60" s="25"/>
      <c r="P60" s="25"/>
      <c r="Q60" s="23"/>
      <c r="R60" s="23"/>
      <c r="S60" s="23"/>
      <c r="T60" s="32"/>
    </row>
    <row r="61" spans="1:20" ht="20.25" customHeight="1">
      <c r="A61" s="34">
        <v>10</v>
      </c>
      <c r="B61" s="34" t="s">
        <v>300</v>
      </c>
      <c r="C61" s="12"/>
      <c r="D61" s="61"/>
      <c r="E61" s="28"/>
      <c r="F61" s="25">
        <v>64</v>
      </c>
      <c r="G61" s="23"/>
      <c r="H61" s="28"/>
      <c r="I61" s="61"/>
      <c r="J61" s="62"/>
      <c r="K61" s="28"/>
      <c r="L61" s="62"/>
      <c r="M61" s="62"/>
      <c r="N61" s="62"/>
      <c r="O61" s="25"/>
      <c r="P61" s="25"/>
      <c r="Q61" s="23"/>
      <c r="R61" s="23"/>
      <c r="S61" s="23"/>
      <c r="T61" s="32"/>
    </row>
    <row r="62" spans="1:20" ht="20.25" customHeight="1">
      <c r="A62" s="34">
        <v>11</v>
      </c>
      <c r="B62" s="34" t="s">
        <v>301</v>
      </c>
      <c r="C62" s="12"/>
      <c r="D62" s="61"/>
      <c r="E62" s="28"/>
      <c r="F62" s="25">
        <v>120</v>
      </c>
      <c r="G62" s="23"/>
      <c r="H62" s="28"/>
      <c r="I62" s="61"/>
      <c r="J62" s="62"/>
      <c r="K62" s="28"/>
      <c r="L62" s="62"/>
      <c r="M62" s="62"/>
      <c r="N62" s="62"/>
      <c r="O62" s="25"/>
      <c r="P62" s="25"/>
      <c r="Q62" s="23"/>
      <c r="R62" s="23"/>
      <c r="S62" s="23"/>
      <c r="T62" s="32"/>
    </row>
    <row r="63" spans="1:20" ht="20.25" customHeight="1">
      <c r="A63" s="34">
        <v>12</v>
      </c>
      <c r="B63" s="34" t="s">
        <v>302</v>
      </c>
      <c r="C63" s="12"/>
      <c r="D63" s="61"/>
      <c r="E63" s="28"/>
      <c r="F63" s="25">
        <v>72</v>
      </c>
      <c r="G63" s="23"/>
      <c r="H63" s="28"/>
      <c r="I63" s="61"/>
      <c r="J63" s="62"/>
      <c r="K63" s="28"/>
      <c r="L63" s="62"/>
      <c r="M63" s="62"/>
      <c r="N63" s="62"/>
      <c r="O63" s="25"/>
      <c r="P63" s="25"/>
      <c r="Q63" s="23"/>
      <c r="R63" s="23"/>
      <c r="S63" s="23"/>
      <c r="T63" s="32"/>
    </row>
    <row r="64" spans="1:20" ht="20.25" customHeight="1">
      <c r="A64" s="34">
        <v>13</v>
      </c>
      <c r="B64" s="34" t="s">
        <v>303</v>
      </c>
      <c r="C64" s="12"/>
      <c r="D64" s="61"/>
      <c r="E64" s="28"/>
      <c r="F64" s="25">
        <v>40</v>
      </c>
      <c r="G64" s="23"/>
      <c r="H64" s="28"/>
      <c r="I64" s="61"/>
      <c r="J64" s="62"/>
      <c r="K64" s="28"/>
      <c r="L64" s="62"/>
      <c r="M64" s="62"/>
      <c r="N64" s="62"/>
      <c r="O64" s="25"/>
      <c r="P64" s="25"/>
      <c r="Q64" s="23"/>
      <c r="R64" s="23"/>
      <c r="S64" s="23"/>
      <c r="T64" s="32"/>
    </row>
    <row r="65" spans="1:20" ht="20.25" customHeight="1">
      <c r="A65" s="34">
        <v>14</v>
      </c>
      <c r="B65" s="34" t="s">
        <v>304</v>
      </c>
      <c r="C65" s="12"/>
      <c r="D65" s="61"/>
      <c r="E65" s="28"/>
      <c r="F65" s="25">
        <v>96</v>
      </c>
      <c r="G65" s="23"/>
      <c r="H65" s="28"/>
      <c r="I65" s="61"/>
      <c r="J65" s="62"/>
      <c r="K65" s="28"/>
      <c r="L65" s="62"/>
      <c r="M65" s="62"/>
      <c r="N65" s="62"/>
      <c r="O65" s="25"/>
      <c r="P65" s="25"/>
      <c r="Q65" s="23"/>
      <c r="R65" s="23"/>
      <c r="S65" s="23"/>
      <c r="T65" s="32"/>
    </row>
    <row r="66" spans="1:20" ht="20.25" customHeight="1">
      <c r="A66" s="63" t="s">
        <v>305</v>
      </c>
      <c r="B66" s="64"/>
      <c r="C66" s="65"/>
      <c r="D66" s="28"/>
      <c r="E66" s="28"/>
      <c r="F66" s="25"/>
      <c r="G66" s="28"/>
      <c r="H66" s="28"/>
      <c r="I66" s="61"/>
      <c r="J66" s="62"/>
      <c r="K66" s="28"/>
      <c r="L66" s="62"/>
      <c r="M66" s="62"/>
      <c r="N66" s="62"/>
      <c r="O66" s="25"/>
      <c r="P66" s="25"/>
      <c r="Q66" s="23"/>
      <c r="R66" s="23"/>
      <c r="S66" s="23"/>
      <c r="T66" s="32"/>
    </row>
    <row r="67" spans="1:20" ht="20.25" customHeight="1">
      <c r="A67" s="34">
        <v>1</v>
      </c>
      <c r="B67" s="34" t="s">
        <v>306</v>
      </c>
      <c r="C67" s="12"/>
      <c r="D67" s="28"/>
      <c r="E67" s="28"/>
      <c r="F67" s="25"/>
      <c r="G67" s="28"/>
      <c r="H67" s="27"/>
      <c r="I67" s="61"/>
      <c r="J67" s="62"/>
      <c r="K67" s="28"/>
      <c r="L67" s="62"/>
      <c r="M67" s="62"/>
      <c r="N67" s="62"/>
      <c r="O67" s="25"/>
      <c r="P67" s="25"/>
      <c r="Q67" s="23"/>
      <c r="R67" s="23"/>
      <c r="S67" s="23"/>
      <c r="T67" s="32"/>
    </row>
    <row r="68" spans="1:20" ht="20.25" customHeight="1">
      <c r="A68" s="34">
        <v>2</v>
      </c>
      <c r="B68" s="34" t="s">
        <v>307</v>
      </c>
      <c r="C68" s="12">
        <v>16</v>
      </c>
      <c r="D68" s="28"/>
      <c r="E68" s="28"/>
      <c r="F68" s="25">
        <v>24</v>
      </c>
      <c r="G68" s="28"/>
      <c r="H68" s="28"/>
      <c r="I68" s="61"/>
      <c r="J68" s="62"/>
      <c r="K68" s="23"/>
      <c r="L68" s="62"/>
      <c r="M68" s="62"/>
      <c r="N68" s="62"/>
      <c r="O68" s="25"/>
      <c r="P68" s="25"/>
      <c r="Q68" s="23"/>
      <c r="R68" s="23"/>
      <c r="S68" s="23"/>
      <c r="T68" s="32"/>
    </row>
    <row r="69" spans="1:20" ht="20.25" customHeight="1">
      <c r="A69" s="34">
        <v>3</v>
      </c>
      <c r="B69" s="34" t="s">
        <v>308</v>
      </c>
      <c r="C69" s="12"/>
      <c r="D69" s="28"/>
      <c r="E69" s="28"/>
      <c r="F69" s="25">
        <v>48</v>
      </c>
      <c r="G69" s="28"/>
      <c r="H69" s="28"/>
      <c r="I69" s="61"/>
      <c r="J69" s="62"/>
      <c r="K69" s="23"/>
      <c r="L69" s="62"/>
      <c r="M69" s="62"/>
      <c r="N69" s="62"/>
      <c r="O69" s="25"/>
      <c r="P69" s="25"/>
      <c r="Q69" s="23"/>
      <c r="R69" s="23"/>
      <c r="S69" s="23"/>
      <c r="T69" s="32"/>
    </row>
    <row r="70" spans="1:20" ht="20.25" customHeight="1">
      <c r="A70" s="34">
        <v>4</v>
      </c>
      <c r="B70" s="34" t="s">
        <v>309</v>
      </c>
      <c r="C70" s="70">
        <v>40</v>
      </c>
      <c r="D70" s="12"/>
      <c r="E70" s="28"/>
      <c r="F70" s="25"/>
      <c r="G70" s="28"/>
      <c r="H70" s="28"/>
      <c r="I70" s="61"/>
      <c r="J70" s="62"/>
      <c r="K70" s="23"/>
      <c r="L70" s="62"/>
      <c r="M70" s="62"/>
      <c r="N70" s="62"/>
      <c r="O70" s="25"/>
      <c r="P70" s="25"/>
      <c r="Q70" s="23"/>
      <c r="R70" s="23"/>
      <c r="S70" s="23"/>
      <c r="T70" s="32"/>
    </row>
    <row r="71" spans="1:20" ht="20.25" customHeight="1">
      <c r="A71" s="34">
        <v>5</v>
      </c>
      <c r="B71" s="34" t="s">
        <v>310</v>
      </c>
      <c r="C71" s="12">
        <v>40</v>
      </c>
      <c r="D71" s="12"/>
      <c r="E71" s="28"/>
      <c r="F71" s="25"/>
      <c r="G71" s="28"/>
      <c r="H71" s="28"/>
      <c r="I71" s="61"/>
      <c r="J71" s="62"/>
      <c r="K71" s="23"/>
      <c r="L71" s="62"/>
      <c r="M71" s="62"/>
      <c r="N71" s="62"/>
      <c r="O71" s="25"/>
      <c r="P71" s="25"/>
      <c r="Q71" s="23"/>
      <c r="R71" s="23"/>
      <c r="S71" s="23"/>
      <c r="T71" s="32"/>
    </row>
    <row r="72" spans="1:20" ht="20.25" customHeight="1">
      <c r="A72" s="34">
        <v>6</v>
      </c>
      <c r="B72" s="34" t="s">
        <v>311</v>
      </c>
      <c r="C72" s="12"/>
      <c r="D72" s="28"/>
      <c r="E72" s="28"/>
      <c r="F72" s="25">
        <v>120</v>
      </c>
      <c r="G72" s="28"/>
      <c r="H72" s="28"/>
      <c r="I72" s="61"/>
      <c r="J72" s="62"/>
      <c r="K72" s="23"/>
      <c r="L72" s="62"/>
      <c r="M72" s="62"/>
      <c r="N72" s="62"/>
      <c r="O72" s="25"/>
      <c r="P72" s="25"/>
      <c r="Q72" s="23"/>
      <c r="R72" s="23"/>
      <c r="S72" s="23"/>
      <c r="T72" s="32"/>
    </row>
    <row r="73" spans="1:20" ht="20.25" customHeight="1">
      <c r="A73" s="34">
        <v>8</v>
      </c>
      <c r="B73" s="34" t="s">
        <v>313</v>
      </c>
      <c r="C73" s="12">
        <v>8</v>
      </c>
      <c r="D73" s="28"/>
      <c r="E73" s="28"/>
      <c r="F73" s="25"/>
      <c r="G73" s="28"/>
      <c r="H73" s="28"/>
      <c r="I73" s="61"/>
      <c r="J73" s="62"/>
      <c r="K73" s="23"/>
      <c r="L73" s="62"/>
      <c r="M73" s="62"/>
      <c r="N73" s="62"/>
      <c r="O73" s="25"/>
      <c r="P73" s="25"/>
      <c r="Q73" s="23"/>
      <c r="R73" s="23"/>
      <c r="S73" s="23"/>
      <c r="T73" s="32"/>
    </row>
    <row r="74" spans="1:20" ht="20.25" customHeight="1">
      <c r="A74" s="34">
        <v>9</v>
      </c>
      <c r="B74" s="34" t="s">
        <v>314</v>
      </c>
      <c r="C74" s="12">
        <v>40</v>
      </c>
      <c r="D74" s="28"/>
      <c r="E74" s="28"/>
      <c r="F74" s="25"/>
      <c r="G74" s="28"/>
      <c r="H74" s="28"/>
      <c r="I74" s="61"/>
      <c r="J74" s="62"/>
      <c r="K74" s="23"/>
      <c r="L74" s="62"/>
      <c r="M74" s="62"/>
      <c r="N74" s="62"/>
      <c r="O74" s="25"/>
      <c r="P74" s="25"/>
      <c r="Q74" s="23"/>
      <c r="R74" s="23"/>
      <c r="S74" s="23"/>
      <c r="T74" s="32"/>
    </row>
    <row r="75" spans="1:20" ht="20.25" customHeight="1">
      <c r="A75" s="34">
        <v>10</v>
      </c>
      <c r="B75" s="34" t="s">
        <v>315</v>
      </c>
      <c r="C75" s="12">
        <v>24</v>
      </c>
      <c r="D75" s="28"/>
      <c r="E75" s="28"/>
      <c r="F75" s="25"/>
      <c r="G75" s="28"/>
      <c r="H75" s="28"/>
      <c r="I75" s="61"/>
      <c r="J75" s="62"/>
      <c r="K75" s="23"/>
      <c r="L75" s="62"/>
      <c r="M75" s="62"/>
      <c r="N75" s="62"/>
      <c r="O75" s="25"/>
      <c r="P75" s="25"/>
      <c r="Q75" s="23"/>
      <c r="R75" s="23"/>
      <c r="S75" s="23"/>
      <c r="T75" s="32"/>
    </row>
    <row r="76" spans="1:20" ht="20.25" customHeight="1">
      <c r="A76" s="34">
        <v>11</v>
      </c>
      <c r="B76" s="34" t="s">
        <v>316</v>
      </c>
      <c r="C76" s="12">
        <v>16</v>
      </c>
      <c r="D76" s="28"/>
      <c r="E76" s="28"/>
      <c r="F76" s="25"/>
      <c r="G76" s="28"/>
      <c r="H76" s="28"/>
      <c r="I76" s="61"/>
      <c r="J76" s="62"/>
      <c r="K76" s="23"/>
      <c r="L76" s="62"/>
      <c r="M76" s="62"/>
      <c r="N76" s="62"/>
      <c r="O76" s="25"/>
      <c r="P76" s="25"/>
      <c r="Q76" s="23"/>
      <c r="R76" s="23"/>
      <c r="S76" s="23"/>
      <c r="T76" s="32"/>
    </row>
    <row r="77" spans="1:20" ht="20.25" customHeight="1">
      <c r="A77" s="34">
        <v>12</v>
      </c>
      <c r="B77" s="34" t="s">
        <v>317</v>
      </c>
      <c r="C77" s="12">
        <v>40</v>
      </c>
      <c r="D77" s="28"/>
      <c r="E77" s="28"/>
      <c r="F77" s="25"/>
      <c r="G77" s="28"/>
      <c r="H77" s="28"/>
      <c r="I77" s="61"/>
      <c r="J77" s="62"/>
      <c r="K77" s="23"/>
      <c r="L77" s="62"/>
      <c r="M77" s="62"/>
      <c r="N77" s="62"/>
      <c r="O77" s="25"/>
      <c r="P77" s="25"/>
      <c r="Q77" s="23"/>
      <c r="R77" s="23"/>
      <c r="S77" s="23"/>
      <c r="T77" s="32"/>
    </row>
    <row r="78" spans="1:20" ht="20.25" customHeight="1">
      <c r="A78" s="34">
        <v>13</v>
      </c>
      <c r="B78" s="34" t="s">
        <v>318</v>
      </c>
      <c r="C78" s="12">
        <v>48</v>
      </c>
      <c r="D78" s="28"/>
      <c r="E78" s="28"/>
      <c r="F78" s="25"/>
      <c r="G78" s="28"/>
      <c r="H78" s="28"/>
      <c r="I78" s="61"/>
      <c r="J78" s="62"/>
      <c r="K78" s="23"/>
      <c r="L78" s="62"/>
      <c r="M78" s="62"/>
      <c r="N78" s="62"/>
      <c r="O78" s="25"/>
      <c r="P78" s="25"/>
      <c r="Q78" s="23"/>
      <c r="R78" s="23"/>
      <c r="S78" s="23"/>
      <c r="T78" s="32"/>
    </row>
    <row r="79" spans="1:20" ht="20.25" customHeight="1">
      <c r="A79" s="34">
        <v>14</v>
      </c>
      <c r="B79" s="34" t="s">
        <v>319</v>
      </c>
      <c r="C79" s="12">
        <v>40</v>
      </c>
      <c r="D79" s="28"/>
      <c r="E79" s="28"/>
      <c r="F79" s="25"/>
      <c r="G79" s="28"/>
      <c r="H79" s="28"/>
      <c r="I79" s="61"/>
      <c r="J79" s="62"/>
      <c r="K79" s="23"/>
      <c r="L79" s="62"/>
      <c r="M79" s="62"/>
      <c r="N79" s="62"/>
      <c r="O79" s="25"/>
      <c r="P79" s="25"/>
      <c r="Q79" s="23"/>
      <c r="R79" s="23"/>
      <c r="S79" s="23"/>
      <c r="T79" s="32"/>
    </row>
    <row r="80" spans="1:20" ht="20.25" customHeight="1">
      <c r="A80" s="34">
        <v>15</v>
      </c>
      <c r="B80" s="34" t="s">
        <v>320</v>
      </c>
      <c r="C80" s="12">
        <v>32</v>
      </c>
      <c r="D80" s="28"/>
      <c r="E80" s="28"/>
      <c r="F80" s="25">
        <v>32</v>
      </c>
      <c r="G80" s="28"/>
      <c r="H80" s="28"/>
      <c r="I80" s="61"/>
      <c r="J80" s="62"/>
      <c r="K80" s="23"/>
      <c r="L80" s="62"/>
      <c r="M80" s="62"/>
      <c r="N80" s="62"/>
      <c r="O80" s="25"/>
      <c r="P80" s="25"/>
      <c r="Q80" s="23"/>
      <c r="R80" s="23"/>
      <c r="S80" s="23"/>
      <c r="T80" s="32"/>
    </row>
    <row r="81" spans="1:21" ht="20.25" customHeight="1">
      <c r="A81" s="34">
        <v>16</v>
      </c>
      <c r="B81" s="34" t="s">
        <v>321</v>
      </c>
      <c r="C81" s="12"/>
      <c r="D81" s="28"/>
      <c r="E81" s="28"/>
      <c r="F81" s="25">
        <v>40</v>
      </c>
      <c r="G81" s="28"/>
      <c r="H81" s="28"/>
      <c r="I81" s="61"/>
      <c r="J81" s="62"/>
      <c r="K81" s="23"/>
      <c r="L81" s="62"/>
      <c r="M81" s="62"/>
      <c r="N81" s="62"/>
      <c r="O81" s="25"/>
      <c r="P81" s="25"/>
      <c r="Q81" s="23"/>
      <c r="R81" s="23"/>
      <c r="S81" s="23"/>
      <c r="T81" s="32"/>
    </row>
    <row r="82" spans="1:21" ht="20.25" customHeight="1">
      <c r="A82" s="34">
        <v>17</v>
      </c>
      <c r="B82" s="34" t="s">
        <v>322</v>
      </c>
      <c r="C82" s="12"/>
      <c r="D82" s="28"/>
      <c r="E82" s="23"/>
      <c r="F82" s="25">
        <v>24</v>
      </c>
      <c r="H82" s="28"/>
      <c r="I82" s="61"/>
      <c r="J82" s="62"/>
      <c r="K82" s="23"/>
      <c r="L82" s="62"/>
      <c r="M82" s="62"/>
      <c r="N82" s="62"/>
      <c r="O82" s="25"/>
      <c r="P82" s="25"/>
      <c r="Q82" s="23"/>
      <c r="R82" s="23"/>
      <c r="S82" s="23"/>
      <c r="T82" s="32"/>
    </row>
    <row r="83" spans="1:21" ht="20.25" customHeight="1">
      <c r="A83" s="34">
        <v>18</v>
      </c>
      <c r="B83" s="34" t="s">
        <v>323</v>
      </c>
      <c r="C83" s="12"/>
      <c r="D83" s="28"/>
      <c r="E83" s="28"/>
      <c r="F83" s="25"/>
      <c r="G83" s="28"/>
      <c r="H83" s="28"/>
      <c r="I83" s="61"/>
      <c r="J83" s="62"/>
      <c r="K83" s="23"/>
      <c r="L83" s="62"/>
      <c r="M83" s="62"/>
      <c r="N83" s="62"/>
      <c r="O83" s="25"/>
      <c r="P83" s="25"/>
      <c r="Q83" s="23"/>
      <c r="R83" s="23"/>
      <c r="S83" s="23"/>
      <c r="T83" s="32"/>
    </row>
    <row r="84" spans="1:21" ht="20.25" customHeight="1">
      <c r="A84" s="34">
        <v>19</v>
      </c>
      <c r="B84" s="34" t="s">
        <v>324</v>
      </c>
      <c r="C84" s="12"/>
      <c r="D84" s="28"/>
      <c r="E84" s="28"/>
      <c r="F84" s="25"/>
      <c r="G84" s="28"/>
      <c r="H84" s="28"/>
      <c r="I84" s="61"/>
      <c r="J84" s="62"/>
      <c r="K84" s="23"/>
      <c r="L84" s="62"/>
      <c r="M84" s="62"/>
      <c r="N84" s="62"/>
      <c r="O84" s="25"/>
      <c r="P84" s="25"/>
      <c r="Q84" s="23"/>
      <c r="R84" s="23"/>
      <c r="S84" s="23"/>
      <c r="T84" s="32"/>
    </row>
    <row r="85" spans="1:21" ht="20.25" customHeight="1">
      <c r="A85" s="34">
        <v>20</v>
      </c>
      <c r="B85" s="34" t="s">
        <v>325</v>
      </c>
      <c r="C85" s="12">
        <v>24</v>
      </c>
      <c r="D85" s="28"/>
      <c r="E85" s="28"/>
      <c r="F85" s="25">
        <v>32</v>
      </c>
      <c r="G85" s="28"/>
      <c r="H85" s="28"/>
      <c r="I85" s="61"/>
      <c r="J85" s="62"/>
      <c r="K85" s="23"/>
      <c r="L85" s="62"/>
      <c r="M85" s="62"/>
      <c r="N85" s="62"/>
      <c r="O85" s="25"/>
      <c r="P85" s="25"/>
      <c r="Q85" s="23"/>
      <c r="R85" s="23"/>
      <c r="S85" s="23"/>
      <c r="T85" s="32"/>
    </row>
    <row r="86" spans="1:21" ht="20.25" customHeight="1">
      <c r="A86" s="34">
        <v>21</v>
      </c>
      <c r="B86" s="34" t="s">
        <v>326</v>
      </c>
      <c r="C86" s="12">
        <v>16</v>
      </c>
      <c r="D86" s="28"/>
      <c r="E86" s="28"/>
      <c r="F86" s="25"/>
      <c r="G86" s="28"/>
      <c r="H86" s="28"/>
      <c r="I86" s="61"/>
      <c r="J86" s="62"/>
      <c r="K86" s="23"/>
      <c r="L86" s="62"/>
      <c r="M86" s="62"/>
      <c r="N86" s="62"/>
      <c r="O86" s="25"/>
      <c r="P86" s="25"/>
      <c r="Q86" s="23"/>
      <c r="R86" s="23"/>
      <c r="S86" s="23"/>
      <c r="T86" s="32"/>
    </row>
    <row r="87" spans="1:21" ht="20.25" customHeight="1">
      <c r="A87" s="34">
        <v>22</v>
      </c>
      <c r="B87" s="34" t="s">
        <v>327</v>
      </c>
      <c r="C87" s="12">
        <v>40</v>
      </c>
      <c r="D87" s="28"/>
      <c r="E87" s="28"/>
      <c r="F87" s="25">
        <v>7</v>
      </c>
      <c r="G87" s="28"/>
      <c r="H87" s="28"/>
      <c r="I87" s="61"/>
      <c r="J87" s="62"/>
      <c r="K87" s="23"/>
      <c r="L87" s="62"/>
      <c r="M87" s="62"/>
      <c r="N87" s="62"/>
      <c r="O87" s="25"/>
      <c r="P87" s="25"/>
      <c r="Q87" s="23"/>
      <c r="R87" s="23"/>
      <c r="S87" s="23"/>
      <c r="T87" s="35"/>
    </row>
    <row r="88" spans="1:21" ht="20.25" customHeight="1">
      <c r="A88" s="34">
        <v>23</v>
      </c>
      <c r="B88" s="34" t="s">
        <v>328</v>
      </c>
      <c r="C88" s="12">
        <v>40</v>
      </c>
      <c r="D88" s="28"/>
      <c r="E88" s="28"/>
      <c r="F88" s="25">
        <v>24</v>
      </c>
      <c r="G88" s="28"/>
      <c r="H88" s="28"/>
      <c r="I88" s="61">
        <v>1</v>
      </c>
      <c r="J88" s="62">
        <f>I88*8</f>
        <v>8</v>
      </c>
      <c r="K88" s="23"/>
      <c r="L88" s="62"/>
      <c r="M88" s="62"/>
      <c r="N88" s="62">
        <f>M88+L88+J88</f>
        <v>8</v>
      </c>
      <c r="O88" s="25"/>
      <c r="P88" s="25"/>
      <c r="Q88" s="23"/>
      <c r="R88" s="23"/>
      <c r="S88" s="23"/>
      <c r="T88" s="32"/>
    </row>
    <row r="89" spans="1:21" ht="20.25" customHeight="1">
      <c r="A89" s="34">
        <v>24</v>
      </c>
      <c r="B89" s="71" t="s">
        <v>329</v>
      </c>
      <c r="C89" s="12"/>
      <c r="D89" s="28"/>
      <c r="E89" s="28"/>
      <c r="F89" s="25">
        <v>40</v>
      </c>
      <c r="G89" s="28"/>
      <c r="H89" s="28"/>
      <c r="I89" s="61"/>
      <c r="J89" s="62"/>
      <c r="K89" s="23"/>
      <c r="L89" s="62"/>
      <c r="M89" s="62"/>
      <c r="N89" s="62"/>
      <c r="O89" s="25"/>
      <c r="P89" s="25"/>
      <c r="Q89" s="23"/>
      <c r="R89" s="23"/>
      <c r="S89" s="23"/>
      <c r="T89" s="32"/>
      <c r="U89" s="72"/>
    </row>
    <row r="90" spans="1:21" ht="20.25" customHeight="1">
      <c r="A90" s="34">
        <v>25</v>
      </c>
      <c r="B90" s="34" t="s">
        <v>330</v>
      </c>
      <c r="C90" s="12"/>
      <c r="D90" s="28">
        <v>34</v>
      </c>
      <c r="E90" s="28"/>
      <c r="F90" s="25">
        <v>48</v>
      </c>
      <c r="G90" s="28"/>
      <c r="H90" s="28"/>
      <c r="I90" s="61"/>
      <c r="J90" s="62"/>
      <c r="K90" s="23"/>
      <c r="L90" s="62"/>
      <c r="M90" s="62"/>
      <c r="N90" s="62"/>
      <c r="O90" s="25"/>
      <c r="P90" s="25"/>
      <c r="Q90" s="23"/>
      <c r="R90" s="23"/>
      <c r="S90" s="23"/>
      <c r="T90" s="32"/>
      <c r="U90" s="72"/>
    </row>
    <row r="91" spans="1:21" ht="20.25" customHeight="1">
      <c r="A91" s="34">
        <v>26</v>
      </c>
      <c r="B91" s="34" t="s">
        <v>331</v>
      </c>
      <c r="C91" s="12"/>
      <c r="D91" s="28"/>
      <c r="E91" s="28"/>
      <c r="F91" s="25">
        <v>40</v>
      </c>
      <c r="G91" s="28"/>
      <c r="H91" s="28"/>
      <c r="I91" s="61"/>
      <c r="J91" s="62"/>
      <c r="K91" s="23"/>
      <c r="L91" s="62"/>
      <c r="M91" s="62"/>
      <c r="N91" s="62"/>
      <c r="O91" s="25"/>
      <c r="P91" s="25"/>
      <c r="Q91" s="23"/>
      <c r="R91" s="23"/>
      <c r="S91" s="23"/>
      <c r="T91" s="32"/>
      <c r="U91" s="72"/>
    </row>
    <row r="92" spans="1:21" ht="20.25" customHeight="1">
      <c r="A92" s="34">
        <v>27</v>
      </c>
      <c r="B92" s="71" t="s">
        <v>332</v>
      </c>
      <c r="C92" s="12"/>
      <c r="D92" s="28"/>
      <c r="E92" s="28"/>
      <c r="F92" s="25">
        <v>32</v>
      </c>
      <c r="G92" s="61"/>
      <c r="H92" s="28"/>
      <c r="I92" s="61">
        <v>4</v>
      </c>
      <c r="J92" s="62">
        <f>I92*8</f>
        <v>32</v>
      </c>
      <c r="K92" s="23"/>
      <c r="L92" s="62"/>
      <c r="M92" s="62"/>
      <c r="N92" s="62">
        <f>M92+L92+J92</f>
        <v>32</v>
      </c>
      <c r="O92" s="25"/>
      <c r="P92" s="25"/>
      <c r="Q92" s="23"/>
      <c r="R92" s="23"/>
      <c r="S92" s="23"/>
      <c r="T92" s="32"/>
      <c r="U92" s="73"/>
    </row>
    <row r="93" spans="1:21" ht="20.25" customHeight="1">
      <c r="A93" s="34">
        <v>28</v>
      </c>
      <c r="B93" s="34" t="s">
        <v>333</v>
      </c>
      <c r="C93" s="12"/>
      <c r="D93" s="28"/>
      <c r="E93" s="28"/>
      <c r="F93" s="25">
        <v>120</v>
      </c>
      <c r="G93" s="61"/>
      <c r="H93" s="28"/>
      <c r="I93" s="61"/>
      <c r="J93" s="62"/>
      <c r="K93" s="23"/>
      <c r="L93" s="62"/>
      <c r="M93" s="62"/>
      <c r="N93" s="62"/>
      <c r="O93" s="25"/>
      <c r="P93" s="25"/>
      <c r="Q93" s="23"/>
      <c r="R93" s="23"/>
      <c r="S93" s="23"/>
      <c r="T93" s="32"/>
      <c r="U93" s="73"/>
    </row>
    <row r="94" spans="1:21" ht="20.25" customHeight="1">
      <c r="A94" s="34">
        <v>29</v>
      </c>
      <c r="B94" s="34" t="s">
        <v>334</v>
      </c>
      <c r="C94" s="12"/>
      <c r="D94" s="28"/>
      <c r="E94" s="28"/>
      <c r="F94" s="25">
        <v>10</v>
      </c>
      <c r="G94" s="61"/>
      <c r="H94" s="28"/>
      <c r="I94" s="61"/>
      <c r="J94" s="62"/>
      <c r="K94" s="23"/>
      <c r="L94" s="62"/>
      <c r="M94" s="62"/>
      <c r="N94" s="62"/>
      <c r="O94" s="25"/>
      <c r="P94" s="25"/>
      <c r="Q94" s="23"/>
      <c r="R94" s="23"/>
      <c r="S94" s="23"/>
      <c r="T94" s="32"/>
      <c r="U94" s="73"/>
    </row>
    <row r="95" spans="1:21" ht="20.25" customHeight="1">
      <c r="A95" s="34">
        <v>30</v>
      </c>
      <c r="B95" s="34" t="s">
        <v>335</v>
      </c>
      <c r="C95" s="12"/>
      <c r="D95" s="28"/>
      <c r="E95" s="28"/>
      <c r="F95" s="25"/>
      <c r="G95" s="61"/>
      <c r="H95" s="28"/>
      <c r="I95" s="61"/>
      <c r="J95" s="62"/>
      <c r="K95" s="23"/>
      <c r="L95" s="62"/>
      <c r="M95" s="62"/>
      <c r="N95" s="62"/>
      <c r="O95" s="25"/>
      <c r="P95" s="25"/>
      <c r="Q95" s="23"/>
      <c r="R95" s="23"/>
      <c r="S95" s="23"/>
      <c r="T95" s="32"/>
      <c r="U95" s="73"/>
    </row>
    <row r="96" spans="1:21" ht="20.25" customHeight="1">
      <c r="A96" s="34">
        <v>31</v>
      </c>
      <c r="B96" s="34" t="s">
        <v>336</v>
      </c>
      <c r="C96" s="12"/>
      <c r="D96" s="28"/>
      <c r="E96" s="28"/>
      <c r="F96" s="25">
        <v>72</v>
      </c>
      <c r="G96" s="61"/>
      <c r="H96" s="28"/>
      <c r="I96" s="61"/>
      <c r="J96" s="62"/>
      <c r="K96" s="23"/>
      <c r="L96" s="62"/>
      <c r="M96" s="62"/>
      <c r="N96" s="62"/>
      <c r="O96" s="25"/>
      <c r="P96" s="25"/>
      <c r="Q96" s="23"/>
      <c r="R96" s="23"/>
      <c r="S96" s="23"/>
      <c r="T96" s="32"/>
      <c r="U96" s="73"/>
    </row>
    <row r="97" spans="1:20" ht="20.25" customHeight="1">
      <c r="A97" s="34">
        <v>32</v>
      </c>
      <c r="B97" s="34" t="s">
        <v>337</v>
      </c>
      <c r="C97" s="36"/>
      <c r="D97" s="23"/>
      <c r="E97" s="27"/>
      <c r="F97" s="25">
        <v>120</v>
      </c>
      <c r="G97" s="28"/>
      <c r="H97" s="28"/>
      <c r="I97" s="61"/>
      <c r="J97" s="62"/>
      <c r="K97" s="23"/>
      <c r="L97" s="62"/>
      <c r="M97" s="62"/>
      <c r="N97" s="62"/>
      <c r="O97" s="25"/>
      <c r="P97" s="25"/>
      <c r="Q97" s="23"/>
      <c r="R97" s="23"/>
      <c r="S97" s="23"/>
      <c r="T97" s="32"/>
    </row>
    <row r="98" spans="1:20" ht="20.25" customHeight="1">
      <c r="A98" s="34">
        <v>33</v>
      </c>
      <c r="B98" s="34" t="s">
        <v>338</v>
      </c>
      <c r="C98" s="36"/>
      <c r="D98" s="23"/>
      <c r="E98" s="28"/>
      <c r="F98" s="25">
        <v>72</v>
      </c>
      <c r="G98" s="28"/>
      <c r="H98" s="28"/>
      <c r="I98" s="61"/>
      <c r="J98" s="62"/>
      <c r="K98" s="23"/>
      <c r="L98" s="62"/>
      <c r="M98" s="62"/>
      <c r="N98" s="62"/>
      <c r="O98" s="25"/>
      <c r="P98" s="25"/>
      <c r="Q98" s="23"/>
      <c r="R98" s="23"/>
      <c r="S98" s="23"/>
      <c r="T98" s="32"/>
    </row>
    <row r="99" spans="1:20" ht="20.25" customHeight="1">
      <c r="A99" s="34">
        <v>34</v>
      </c>
      <c r="B99" s="34" t="s">
        <v>339</v>
      </c>
      <c r="C99" s="36"/>
      <c r="D99" s="23"/>
      <c r="E99" s="27"/>
      <c r="F99" s="25">
        <v>40</v>
      </c>
      <c r="G99" s="28"/>
      <c r="H99" s="28"/>
      <c r="I99" s="61"/>
      <c r="J99" s="62"/>
      <c r="K99" s="23"/>
      <c r="L99" s="62"/>
      <c r="M99" s="62"/>
      <c r="N99" s="62"/>
      <c r="O99" s="25"/>
      <c r="P99" s="25"/>
      <c r="Q99" s="23"/>
      <c r="R99" s="23"/>
      <c r="S99" s="23"/>
      <c r="T99" s="32"/>
    </row>
    <row r="100" spans="1:20" ht="20.25" customHeight="1">
      <c r="A100" s="34">
        <v>35</v>
      </c>
      <c r="B100" s="34" t="s">
        <v>340</v>
      </c>
      <c r="C100" s="36"/>
      <c r="D100" s="23"/>
      <c r="E100" s="27"/>
      <c r="F100" s="25">
        <v>72</v>
      </c>
      <c r="G100" s="28"/>
      <c r="H100" s="28"/>
      <c r="I100" s="61">
        <v>3</v>
      </c>
      <c r="J100" s="62">
        <f t="shared" ref="J100" si="0">I100*8</f>
        <v>24</v>
      </c>
      <c r="K100" s="23"/>
      <c r="L100" s="62"/>
      <c r="M100" s="62"/>
      <c r="N100" s="62">
        <f t="shared" ref="N100" si="1">M100+L100+J100</f>
        <v>24</v>
      </c>
      <c r="O100" s="25"/>
      <c r="P100" s="25"/>
      <c r="Q100" s="23"/>
      <c r="R100" s="23"/>
      <c r="S100" s="23"/>
      <c r="T100" s="32"/>
    </row>
    <row r="101" spans="1:20" ht="20.25" customHeight="1">
      <c r="A101" s="34">
        <v>36</v>
      </c>
      <c r="B101" s="34" t="s">
        <v>341</v>
      </c>
      <c r="C101" s="36"/>
      <c r="D101" s="23"/>
      <c r="E101" s="27"/>
      <c r="F101" s="25">
        <v>40</v>
      </c>
      <c r="G101" s="28"/>
      <c r="H101" s="28"/>
      <c r="I101" s="61"/>
      <c r="J101" s="62"/>
      <c r="K101" s="23"/>
      <c r="L101" s="62"/>
      <c r="M101" s="62"/>
      <c r="N101" s="62"/>
      <c r="O101" s="25"/>
      <c r="P101" s="25"/>
      <c r="Q101" s="23"/>
      <c r="R101" s="23"/>
      <c r="S101" s="23"/>
      <c r="T101" s="32"/>
    </row>
    <row r="102" spans="1:20" ht="20.25" customHeight="1">
      <c r="A102" s="34">
        <v>37</v>
      </c>
      <c r="B102" s="34" t="s">
        <v>342</v>
      </c>
      <c r="C102" s="36"/>
      <c r="D102" s="23"/>
      <c r="E102" s="27"/>
      <c r="F102" s="25">
        <v>40</v>
      </c>
      <c r="G102" s="28"/>
      <c r="H102" s="28"/>
      <c r="I102" s="61"/>
      <c r="J102" s="62"/>
      <c r="K102" s="23"/>
      <c r="L102" s="62"/>
      <c r="M102" s="62"/>
      <c r="N102" s="62"/>
      <c r="O102" s="25"/>
      <c r="P102" s="25"/>
      <c r="Q102" s="23"/>
      <c r="R102" s="23"/>
      <c r="S102" s="23"/>
      <c r="T102" s="32"/>
    </row>
    <row r="103" spans="1:20" ht="20.25" customHeight="1">
      <c r="A103" s="63" t="s">
        <v>343</v>
      </c>
      <c r="B103" s="64"/>
      <c r="C103" s="12"/>
      <c r="D103" s="28"/>
      <c r="E103" s="28"/>
      <c r="F103" s="25"/>
      <c r="G103" s="28"/>
      <c r="H103" s="28"/>
      <c r="I103" s="61"/>
      <c r="J103" s="62"/>
      <c r="K103" s="28"/>
      <c r="L103" s="62"/>
      <c r="M103" s="62"/>
      <c r="N103" s="62"/>
      <c r="O103" s="25"/>
      <c r="P103" s="25"/>
      <c r="Q103" s="23"/>
      <c r="R103" s="23"/>
      <c r="S103" s="23"/>
      <c r="T103" s="32"/>
    </row>
    <row r="104" spans="1:20" ht="20.25" customHeight="1">
      <c r="A104" s="34">
        <v>1</v>
      </c>
      <c r="B104" s="34" t="s">
        <v>344</v>
      </c>
      <c r="C104" s="12"/>
      <c r="D104" s="28"/>
      <c r="E104" s="28"/>
      <c r="F104" s="25">
        <v>8</v>
      </c>
      <c r="G104" s="28">
        <v>1.5</v>
      </c>
      <c r="H104" s="27"/>
      <c r="I104" s="61"/>
      <c r="J104" s="62"/>
      <c r="K104" s="28"/>
      <c r="L104" s="62"/>
      <c r="M104" s="62"/>
      <c r="N104" s="62"/>
      <c r="O104" s="25"/>
      <c r="P104" s="25"/>
      <c r="Q104" s="23"/>
      <c r="R104" s="23"/>
      <c r="S104" s="23"/>
      <c r="T104" s="32"/>
    </row>
    <row r="105" spans="1:20" ht="20.25" customHeight="1">
      <c r="A105" s="34">
        <v>2</v>
      </c>
      <c r="B105" s="34" t="s">
        <v>345</v>
      </c>
      <c r="C105" s="12">
        <v>8</v>
      </c>
      <c r="D105" s="28"/>
      <c r="E105" s="28"/>
      <c r="F105" s="25"/>
      <c r="G105" s="28"/>
      <c r="H105" s="28"/>
      <c r="I105" s="61"/>
      <c r="J105" s="62"/>
      <c r="K105" s="28"/>
      <c r="L105" s="62"/>
      <c r="M105" s="62"/>
      <c r="N105" s="62"/>
      <c r="O105" s="25"/>
      <c r="P105" s="25"/>
      <c r="Q105" s="23"/>
      <c r="R105" s="23"/>
      <c r="S105" s="23"/>
      <c r="T105" s="32"/>
    </row>
    <row r="106" spans="1:20" ht="20.25" customHeight="1">
      <c r="A106" s="34">
        <v>3</v>
      </c>
      <c r="B106" s="34" t="s">
        <v>346</v>
      </c>
      <c r="C106" s="12"/>
      <c r="D106" s="28"/>
      <c r="E106" s="28"/>
      <c r="F106" s="25">
        <v>40</v>
      </c>
      <c r="G106" s="28"/>
      <c r="H106" s="28"/>
      <c r="I106" s="61"/>
      <c r="J106" s="62"/>
      <c r="K106" s="28"/>
      <c r="L106" s="62"/>
      <c r="M106" s="62"/>
      <c r="N106" s="62"/>
      <c r="O106" s="25"/>
      <c r="P106" s="25"/>
      <c r="Q106" s="23"/>
      <c r="R106" s="23"/>
      <c r="S106" s="23"/>
      <c r="T106" s="32"/>
    </row>
    <row r="107" spans="1:20" ht="20.25" customHeight="1">
      <c r="A107" s="34">
        <v>4</v>
      </c>
      <c r="B107" s="34" t="s">
        <v>347</v>
      </c>
      <c r="C107" s="12"/>
      <c r="D107" s="28"/>
      <c r="E107" s="28"/>
      <c r="F107" s="25">
        <v>8</v>
      </c>
      <c r="G107" s="61"/>
      <c r="H107" s="28"/>
      <c r="I107" s="61"/>
      <c r="J107" s="62"/>
      <c r="K107" s="28"/>
      <c r="L107" s="62"/>
      <c r="M107" s="62"/>
      <c r="N107" s="62"/>
      <c r="O107" s="25"/>
      <c r="P107" s="25"/>
      <c r="Q107" s="23"/>
      <c r="R107" s="23"/>
      <c r="S107" s="23"/>
      <c r="T107" s="32"/>
    </row>
    <row r="108" spans="1:20" ht="20.25" customHeight="1">
      <c r="A108" s="34">
        <v>5</v>
      </c>
      <c r="B108" s="34" t="s">
        <v>349</v>
      </c>
      <c r="C108" s="12"/>
      <c r="D108" s="28"/>
      <c r="E108" s="28"/>
      <c r="F108" s="25"/>
      <c r="G108" s="28"/>
      <c r="H108" s="28"/>
      <c r="I108" s="61"/>
      <c r="J108" s="62"/>
      <c r="K108" s="28"/>
      <c r="L108" s="62"/>
      <c r="M108" s="62"/>
      <c r="N108" s="62"/>
      <c r="O108" s="25"/>
      <c r="P108" s="25"/>
      <c r="Q108" s="23"/>
      <c r="R108" s="23"/>
      <c r="S108" s="23"/>
      <c r="T108" s="32"/>
    </row>
    <row r="109" spans="1:20" ht="20.25" customHeight="1">
      <c r="A109" s="34">
        <v>6</v>
      </c>
      <c r="B109" s="34" t="s">
        <v>350</v>
      </c>
      <c r="C109" s="12"/>
      <c r="D109" s="28"/>
      <c r="E109" s="28"/>
      <c r="F109" s="25"/>
      <c r="G109" s="28"/>
      <c r="H109" s="28"/>
      <c r="I109" s="61"/>
      <c r="J109" s="62"/>
      <c r="K109" s="28"/>
      <c r="L109" s="62"/>
      <c r="M109" s="62"/>
      <c r="N109" s="62"/>
      <c r="O109" s="25"/>
      <c r="P109" s="25"/>
      <c r="Q109" s="23"/>
      <c r="R109" s="23"/>
      <c r="S109" s="23"/>
      <c r="T109" s="35"/>
    </row>
    <row r="110" spans="1:20" ht="20.25" customHeight="1">
      <c r="A110" s="34">
        <v>7</v>
      </c>
      <c r="B110" s="34" t="s">
        <v>351</v>
      </c>
      <c r="C110" s="12">
        <v>8</v>
      </c>
      <c r="D110" s="28"/>
      <c r="E110" s="28"/>
      <c r="F110" s="25"/>
      <c r="G110" s="28"/>
      <c r="H110" s="28"/>
      <c r="I110" s="61"/>
      <c r="J110" s="62"/>
      <c r="K110" s="28"/>
      <c r="L110" s="62"/>
      <c r="M110" s="62"/>
      <c r="N110" s="62"/>
      <c r="O110" s="25"/>
      <c r="P110" s="25"/>
      <c r="Q110" s="23"/>
      <c r="R110" s="23"/>
      <c r="S110" s="23"/>
      <c r="T110" s="35"/>
    </row>
    <row r="111" spans="1:20" ht="20.25" customHeight="1">
      <c r="A111" s="34">
        <v>8</v>
      </c>
      <c r="B111" s="34" t="s">
        <v>352</v>
      </c>
      <c r="C111" s="12"/>
      <c r="D111" s="28"/>
      <c r="E111" s="28"/>
      <c r="F111" s="25"/>
      <c r="G111" s="28"/>
      <c r="H111" s="28"/>
      <c r="I111" s="61"/>
      <c r="J111" s="62"/>
      <c r="K111" s="28"/>
      <c r="L111" s="62"/>
      <c r="M111" s="62"/>
      <c r="N111" s="62"/>
      <c r="O111" s="25"/>
      <c r="P111" s="25"/>
      <c r="Q111" s="23"/>
      <c r="R111" s="23"/>
      <c r="S111" s="23"/>
      <c r="T111" s="35"/>
    </row>
    <row r="112" spans="1:20" ht="20.25" customHeight="1">
      <c r="A112" s="34">
        <v>9</v>
      </c>
      <c r="B112" s="34" t="s">
        <v>353</v>
      </c>
      <c r="C112" s="12"/>
      <c r="D112" s="28"/>
      <c r="E112" s="28"/>
      <c r="F112" s="25">
        <v>40</v>
      </c>
      <c r="G112" s="28"/>
      <c r="H112" s="28"/>
      <c r="I112" s="61"/>
      <c r="J112" s="62"/>
      <c r="K112" s="23"/>
      <c r="L112" s="62"/>
      <c r="M112" s="62"/>
      <c r="N112" s="62"/>
      <c r="O112" s="25"/>
      <c r="P112" s="25"/>
      <c r="Q112" s="23"/>
      <c r="R112" s="23"/>
      <c r="S112" s="23"/>
      <c r="T112" s="35"/>
    </row>
    <row r="113" spans="1:20" ht="20.25" customHeight="1">
      <c r="A113" s="34">
        <v>10</v>
      </c>
      <c r="B113" s="34" t="s">
        <v>354</v>
      </c>
      <c r="C113" s="12"/>
      <c r="D113" s="28"/>
      <c r="E113" s="28"/>
      <c r="F113" s="25"/>
      <c r="G113" s="28"/>
      <c r="H113" s="28"/>
      <c r="I113" s="61"/>
      <c r="J113" s="62"/>
      <c r="K113" s="28"/>
      <c r="L113" s="62"/>
      <c r="M113" s="62"/>
      <c r="N113" s="62"/>
      <c r="O113" s="25"/>
      <c r="P113" s="25"/>
      <c r="Q113" s="23"/>
      <c r="R113" s="23"/>
      <c r="S113" s="23"/>
      <c r="T113" s="35"/>
    </row>
    <row r="114" spans="1:20" ht="20.25" customHeight="1">
      <c r="A114" s="34">
        <v>11</v>
      </c>
      <c r="B114" s="34" t="s">
        <v>355</v>
      </c>
      <c r="C114" s="12"/>
      <c r="D114" s="28"/>
      <c r="E114" s="28"/>
      <c r="F114" s="25">
        <v>40.5</v>
      </c>
      <c r="G114" s="28"/>
      <c r="H114" s="28"/>
      <c r="I114" s="61"/>
      <c r="J114" s="62"/>
      <c r="K114" s="28"/>
      <c r="L114" s="62"/>
      <c r="M114" s="62"/>
      <c r="N114" s="62"/>
      <c r="O114" s="25"/>
      <c r="P114" s="25"/>
      <c r="Q114" s="23"/>
      <c r="R114" s="23"/>
      <c r="S114" s="23"/>
      <c r="T114" s="35"/>
    </row>
    <row r="115" spans="1:20" ht="20.25" customHeight="1">
      <c r="A115" s="63" t="s">
        <v>22</v>
      </c>
      <c r="B115" s="64"/>
      <c r="C115" s="12"/>
      <c r="D115" s="28"/>
      <c r="E115" s="28"/>
      <c r="F115" s="25"/>
      <c r="G115" s="28"/>
      <c r="H115" s="28"/>
      <c r="I115" s="61"/>
      <c r="J115" s="62"/>
      <c r="K115" s="28"/>
      <c r="L115" s="62"/>
      <c r="M115" s="62"/>
      <c r="N115" s="62"/>
      <c r="O115" s="25"/>
      <c r="P115" s="25"/>
      <c r="Q115" s="23"/>
      <c r="R115" s="23"/>
      <c r="S115" s="23"/>
      <c r="T115" s="32"/>
    </row>
    <row r="116" spans="1:20" ht="20.25" customHeight="1">
      <c r="A116" s="34">
        <v>1</v>
      </c>
      <c r="B116" s="34" t="s">
        <v>356</v>
      </c>
      <c r="C116" s="12"/>
      <c r="D116" s="28"/>
      <c r="E116" s="28"/>
      <c r="F116" s="25"/>
      <c r="G116" s="28"/>
      <c r="H116" s="28"/>
      <c r="I116" s="61"/>
      <c r="J116" s="62"/>
      <c r="K116" s="28"/>
      <c r="L116" s="62"/>
      <c r="M116" s="62"/>
      <c r="N116" s="62"/>
      <c r="O116" s="25"/>
      <c r="P116" s="25"/>
      <c r="Q116" s="23"/>
      <c r="R116" s="23"/>
      <c r="S116" s="23"/>
      <c r="T116" s="32"/>
    </row>
    <row r="117" spans="1:20" ht="20.25" customHeight="1">
      <c r="A117" s="34">
        <v>2</v>
      </c>
      <c r="B117" s="34" t="s">
        <v>358</v>
      </c>
      <c r="C117" s="12">
        <v>4</v>
      </c>
      <c r="D117" s="28"/>
      <c r="E117" s="28"/>
      <c r="F117" s="25"/>
      <c r="G117" s="28"/>
      <c r="H117" s="28"/>
      <c r="I117" s="61"/>
      <c r="J117" s="62"/>
      <c r="K117" s="28"/>
      <c r="L117" s="62"/>
      <c r="M117" s="62"/>
      <c r="N117" s="62"/>
      <c r="O117" s="25"/>
      <c r="P117" s="25"/>
      <c r="Q117" s="23"/>
      <c r="R117" s="23"/>
      <c r="S117" s="23"/>
      <c r="T117" s="32"/>
    </row>
    <row r="118" spans="1:20" ht="20.25" customHeight="1">
      <c r="A118" s="34">
        <v>3</v>
      </c>
      <c r="B118" s="34" t="s">
        <v>359</v>
      </c>
      <c r="C118" s="12"/>
      <c r="D118" s="28"/>
      <c r="E118" s="28"/>
      <c r="F118" s="25">
        <v>3</v>
      </c>
      <c r="G118" s="28"/>
      <c r="H118" s="28" t="s">
        <v>454</v>
      </c>
      <c r="I118" s="61"/>
      <c r="J118" s="62"/>
      <c r="K118" s="28"/>
      <c r="L118" s="62"/>
      <c r="M118" s="62"/>
      <c r="N118" s="62"/>
      <c r="O118" s="25"/>
      <c r="P118" s="25"/>
      <c r="Q118" s="23"/>
      <c r="R118" s="23"/>
      <c r="S118" s="23"/>
      <c r="T118" s="32"/>
    </row>
    <row r="119" spans="1:20" ht="20.25" customHeight="1">
      <c r="A119" s="34">
        <v>4</v>
      </c>
      <c r="B119" s="34" t="s">
        <v>360</v>
      </c>
      <c r="C119" s="12"/>
      <c r="D119" s="28"/>
      <c r="E119" s="28"/>
      <c r="F119" s="25">
        <v>88</v>
      </c>
      <c r="G119" s="28"/>
      <c r="H119" s="28"/>
      <c r="I119" s="61"/>
      <c r="J119" s="62"/>
      <c r="K119" s="28"/>
      <c r="L119" s="62"/>
      <c r="M119" s="62"/>
      <c r="N119" s="62"/>
      <c r="O119" s="25"/>
      <c r="P119" s="25"/>
      <c r="Q119" s="23"/>
      <c r="R119" s="23"/>
      <c r="S119" s="23"/>
      <c r="T119" s="32"/>
    </row>
    <row r="120" spans="1:20" ht="20.25" customHeight="1">
      <c r="A120" s="34">
        <v>5</v>
      </c>
      <c r="B120" s="11" t="s">
        <v>361</v>
      </c>
      <c r="C120" s="12"/>
      <c r="D120" s="29"/>
      <c r="E120" s="28"/>
      <c r="F120" s="25">
        <v>120</v>
      </c>
      <c r="G120" s="28"/>
      <c r="H120" s="28"/>
      <c r="I120" s="61"/>
      <c r="J120" s="62"/>
      <c r="K120" s="28"/>
      <c r="L120" s="62"/>
      <c r="M120" s="62"/>
      <c r="N120" s="62"/>
      <c r="O120" s="25"/>
      <c r="P120" s="25"/>
      <c r="Q120" s="23"/>
      <c r="R120" s="23"/>
      <c r="S120" s="23"/>
      <c r="T120" s="32"/>
    </row>
    <row r="121" spans="1:20" ht="20.25" customHeight="1">
      <c r="A121" s="34">
        <v>6</v>
      </c>
      <c r="B121" s="11" t="s">
        <v>362</v>
      </c>
      <c r="C121" s="36"/>
      <c r="D121" s="28"/>
      <c r="E121" s="28"/>
      <c r="F121" s="25"/>
      <c r="G121" s="28"/>
      <c r="H121" s="28"/>
      <c r="I121" s="61"/>
      <c r="J121" s="62"/>
      <c r="K121" s="28"/>
      <c r="L121" s="62"/>
      <c r="M121" s="62"/>
      <c r="N121" s="62"/>
      <c r="O121" s="25"/>
      <c r="P121" s="25"/>
      <c r="Q121" s="23"/>
      <c r="R121" s="23"/>
      <c r="S121" s="23"/>
      <c r="T121" s="32"/>
    </row>
    <row r="122" spans="1:20" ht="20.25" customHeight="1">
      <c r="A122" s="34">
        <v>7</v>
      </c>
      <c r="B122" s="11" t="s">
        <v>363</v>
      </c>
      <c r="C122" s="36"/>
      <c r="D122" s="28"/>
      <c r="E122" s="28"/>
      <c r="F122" s="25"/>
      <c r="G122" s="28"/>
      <c r="H122" s="28"/>
      <c r="I122" s="61"/>
      <c r="J122" s="62"/>
      <c r="K122" s="28"/>
      <c r="L122" s="62"/>
      <c r="M122" s="62"/>
      <c r="N122" s="62"/>
      <c r="O122" s="25"/>
      <c r="P122" s="25"/>
      <c r="Q122" s="23"/>
      <c r="R122" s="23"/>
      <c r="S122" s="23"/>
      <c r="T122" s="32"/>
    </row>
    <row r="123" spans="1:20" ht="20.25" customHeight="1">
      <c r="A123" s="34">
        <v>8</v>
      </c>
      <c r="B123" s="11" t="s">
        <v>364</v>
      </c>
      <c r="C123" s="36"/>
      <c r="D123" s="28"/>
      <c r="E123" s="28"/>
      <c r="F123" s="25"/>
      <c r="G123" s="28"/>
      <c r="H123" s="28"/>
      <c r="I123" s="61"/>
      <c r="J123" s="62"/>
      <c r="K123" s="28"/>
      <c r="L123" s="62"/>
      <c r="M123" s="62"/>
      <c r="N123" s="62"/>
      <c r="O123" s="25"/>
      <c r="P123" s="25"/>
      <c r="Q123" s="23"/>
      <c r="R123" s="23"/>
      <c r="S123" s="23"/>
      <c r="T123" s="32"/>
    </row>
    <row r="124" spans="1:20" ht="20.25" customHeight="1">
      <c r="A124" s="34">
        <v>9</v>
      </c>
      <c r="B124" s="11" t="s">
        <v>365</v>
      </c>
      <c r="C124" s="36"/>
      <c r="D124" s="28"/>
      <c r="E124" s="28"/>
      <c r="F124" s="25">
        <v>8</v>
      </c>
      <c r="G124" s="28"/>
      <c r="H124" s="28"/>
      <c r="I124" s="61"/>
      <c r="J124" s="62"/>
      <c r="K124" s="28"/>
      <c r="L124" s="62"/>
      <c r="M124" s="62"/>
      <c r="N124" s="62"/>
      <c r="O124" s="25"/>
      <c r="P124" s="25"/>
      <c r="Q124" s="23"/>
      <c r="R124" s="23"/>
      <c r="S124" s="23"/>
      <c r="T124" s="32"/>
    </row>
    <row r="125" spans="1:20" ht="20.25" customHeight="1">
      <c r="A125" s="34">
        <v>10</v>
      </c>
      <c r="B125" s="11" t="s">
        <v>366</v>
      </c>
      <c r="C125" s="36"/>
      <c r="D125" s="28"/>
      <c r="E125" s="28"/>
      <c r="F125" s="25">
        <v>40</v>
      </c>
      <c r="G125" s="28"/>
      <c r="H125" s="28"/>
      <c r="I125" s="61"/>
      <c r="J125" s="62"/>
      <c r="K125" s="23"/>
      <c r="L125" s="62"/>
      <c r="M125" s="62"/>
      <c r="N125" s="62"/>
      <c r="O125" s="25"/>
      <c r="P125" s="25"/>
      <c r="Q125" s="23"/>
      <c r="R125" s="23"/>
      <c r="S125" s="23"/>
      <c r="T125" s="32"/>
    </row>
    <row r="126" spans="1:20" ht="20.25" customHeight="1">
      <c r="A126" s="34">
        <v>11</v>
      </c>
      <c r="B126" s="11" t="s">
        <v>367</v>
      </c>
      <c r="C126" s="36"/>
      <c r="D126" s="28"/>
      <c r="E126" s="28"/>
      <c r="F126" s="25">
        <v>80</v>
      </c>
      <c r="G126" s="28"/>
      <c r="H126" s="28"/>
      <c r="I126" s="61"/>
      <c r="J126" s="62"/>
      <c r="K126" s="23"/>
      <c r="L126" s="62"/>
      <c r="M126" s="62"/>
      <c r="N126" s="62"/>
      <c r="O126" s="25"/>
      <c r="P126" s="25"/>
      <c r="Q126" s="23"/>
      <c r="R126" s="23"/>
      <c r="S126" s="23"/>
      <c r="T126" s="32"/>
    </row>
    <row r="127" spans="1:20" ht="20.25" customHeight="1">
      <c r="A127" s="34">
        <v>12</v>
      </c>
      <c r="B127" s="11" t="s">
        <v>368</v>
      </c>
      <c r="C127" s="36"/>
      <c r="D127" s="28"/>
      <c r="E127" s="28"/>
      <c r="F127" s="25">
        <v>8</v>
      </c>
      <c r="G127" s="28"/>
      <c r="H127" s="28"/>
      <c r="I127" s="61"/>
      <c r="J127" s="62"/>
      <c r="K127" s="28"/>
      <c r="L127" s="62"/>
      <c r="M127" s="62"/>
      <c r="N127" s="62"/>
      <c r="O127" s="25"/>
      <c r="P127" s="25"/>
      <c r="Q127" s="23"/>
      <c r="R127" s="23"/>
      <c r="S127" s="23"/>
      <c r="T127" s="32"/>
    </row>
    <row r="128" spans="1:20" ht="20.25" customHeight="1">
      <c r="A128" s="34">
        <v>13</v>
      </c>
      <c r="B128" s="11" t="s">
        <v>369</v>
      </c>
      <c r="C128" s="36"/>
      <c r="D128" s="28"/>
      <c r="E128" s="28"/>
      <c r="F128" s="25">
        <v>16</v>
      </c>
      <c r="G128" s="28"/>
      <c r="H128" s="28"/>
      <c r="I128" s="61"/>
      <c r="J128" s="62"/>
      <c r="K128" s="28"/>
      <c r="L128" s="62"/>
      <c r="M128" s="62"/>
      <c r="N128" s="62"/>
      <c r="O128" s="25"/>
      <c r="P128" s="25"/>
      <c r="Q128" s="23"/>
      <c r="R128" s="23"/>
      <c r="S128" s="23"/>
      <c r="T128" s="32"/>
    </row>
    <row r="129" spans="1:22" ht="20.25" customHeight="1">
      <c r="A129" s="34">
        <v>14</v>
      </c>
      <c r="B129" s="11" t="s">
        <v>370</v>
      </c>
      <c r="C129" s="36"/>
      <c r="D129" s="28"/>
      <c r="E129" s="28"/>
      <c r="F129" s="25">
        <v>72</v>
      </c>
      <c r="G129" s="28"/>
      <c r="H129" s="28"/>
      <c r="I129" s="61"/>
      <c r="J129" s="62"/>
      <c r="K129" s="28"/>
      <c r="L129" s="62"/>
      <c r="M129" s="62"/>
      <c r="N129" s="62"/>
      <c r="O129" s="25"/>
      <c r="P129" s="25"/>
      <c r="Q129" s="23"/>
      <c r="R129" s="23"/>
      <c r="S129" s="23"/>
      <c r="T129" s="32"/>
    </row>
    <row r="130" spans="1:22" ht="20.25" customHeight="1">
      <c r="A130" s="63" t="s">
        <v>371</v>
      </c>
      <c r="B130" s="64"/>
      <c r="C130" s="65"/>
      <c r="D130" s="28"/>
      <c r="E130" s="28"/>
      <c r="F130" s="25"/>
      <c r="G130" s="28"/>
      <c r="H130" s="28"/>
      <c r="I130" s="61"/>
      <c r="J130" s="62"/>
      <c r="K130" s="28"/>
      <c r="L130" s="62"/>
      <c r="M130" s="62"/>
      <c r="N130" s="62"/>
      <c r="O130" s="25"/>
      <c r="P130" s="25"/>
      <c r="Q130" s="23"/>
      <c r="R130" s="23"/>
      <c r="S130" s="23"/>
      <c r="T130" s="32"/>
    </row>
    <row r="131" spans="1:22" ht="20.25" customHeight="1">
      <c r="A131" s="34">
        <v>1</v>
      </c>
      <c r="B131" s="11" t="s">
        <v>372</v>
      </c>
      <c r="C131" s="36"/>
      <c r="D131" s="28"/>
      <c r="E131" s="28"/>
      <c r="F131" s="25"/>
      <c r="G131" s="28"/>
      <c r="H131" s="28"/>
      <c r="I131" s="61"/>
      <c r="J131" s="62"/>
      <c r="K131" s="28"/>
      <c r="L131" s="62"/>
      <c r="M131" s="62"/>
      <c r="N131" s="62"/>
      <c r="O131" s="25"/>
      <c r="P131" s="25"/>
      <c r="Q131" s="23"/>
      <c r="R131" s="23"/>
      <c r="S131" s="23"/>
      <c r="T131" s="32"/>
    </row>
    <row r="132" spans="1:22" ht="20.25" customHeight="1">
      <c r="A132" s="34">
        <v>2</v>
      </c>
      <c r="B132" s="34" t="s">
        <v>373</v>
      </c>
      <c r="C132" s="12"/>
      <c r="D132" s="28"/>
      <c r="E132" s="28"/>
      <c r="F132" s="25"/>
      <c r="G132" s="28"/>
      <c r="H132" s="28"/>
      <c r="I132" s="61"/>
      <c r="J132" s="62"/>
      <c r="K132" s="23"/>
      <c r="L132" s="62"/>
      <c r="M132" s="62"/>
      <c r="N132" s="62"/>
      <c r="O132" s="25"/>
      <c r="P132" s="25"/>
      <c r="Q132" s="23"/>
      <c r="R132" s="23"/>
      <c r="S132" s="23"/>
      <c r="T132" s="32"/>
    </row>
    <row r="133" spans="1:22" ht="20.25" customHeight="1">
      <c r="A133" s="34">
        <v>3</v>
      </c>
      <c r="B133" s="11" t="s">
        <v>374</v>
      </c>
      <c r="C133" s="36"/>
      <c r="D133" s="28"/>
      <c r="E133" s="28"/>
      <c r="F133" s="25">
        <v>82</v>
      </c>
      <c r="G133" s="28"/>
      <c r="H133" s="28"/>
      <c r="I133" s="61"/>
      <c r="J133" s="62"/>
      <c r="K133" s="28"/>
      <c r="L133" s="62"/>
      <c r="M133" s="62"/>
      <c r="N133" s="62"/>
      <c r="O133" s="25"/>
      <c r="P133" s="25"/>
      <c r="Q133" s="23"/>
      <c r="R133" s="23"/>
      <c r="S133" s="23"/>
      <c r="T133" s="32"/>
    </row>
    <row r="134" spans="1:22" ht="20.25" customHeight="1">
      <c r="A134" s="34">
        <v>4</v>
      </c>
      <c r="B134" s="11" t="s">
        <v>375</v>
      </c>
      <c r="C134" s="36"/>
      <c r="D134" s="28"/>
      <c r="E134" s="28"/>
      <c r="F134" s="25">
        <v>9</v>
      </c>
      <c r="G134" s="28"/>
      <c r="H134" s="28"/>
      <c r="I134" s="61"/>
      <c r="J134" s="62"/>
      <c r="K134" s="28"/>
      <c r="L134" s="62"/>
      <c r="M134" s="62"/>
      <c r="N134" s="62"/>
      <c r="O134" s="25"/>
      <c r="P134" s="25"/>
      <c r="Q134" s="23"/>
      <c r="R134" s="23"/>
      <c r="S134" s="23"/>
      <c r="T134" s="32"/>
    </row>
    <row r="135" spans="1:22" ht="20.25" customHeight="1">
      <c r="A135" s="34">
        <v>5</v>
      </c>
      <c r="B135" s="34" t="s">
        <v>376</v>
      </c>
      <c r="C135" s="36"/>
      <c r="D135" s="28"/>
      <c r="E135" s="28"/>
      <c r="F135" s="25"/>
      <c r="G135" s="28"/>
      <c r="H135" s="28"/>
      <c r="I135" s="61"/>
      <c r="J135" s="62"/>
      <c r="K135" s="28"/>
      <c r="L135" s="62"/>
      <c r="M135" s="62"/>
      <c r="N135" s="62"/>
      <c r="O135" s="25"/>
      <c r="P135" s="25"/>
      <c r="Q135" s="23"/>
      <c r="R135" s="23"/>
      <c r="S135" s="23"/>
      <c r="T135" s="32"/>
    </row>
    <row r="136" spans="1:22" ht="20.25" customHeight="1">
      <c r="A136" s="34">
        <v>6</v>
      </c>
      <c r="B136" s="34" t="s">
        <v>377</v>
      </c>
      <c r="D136" s="28"/>
      <c r="E136" s="28"/>
      <c r="F136" s="25">
        <v>88</v>
      </c>
      <c r="G136" s="28"/>
      <c r="H136" s="28"/>
      <c r="I136" s="61"/>
      <c r="J136" s="62"/>
      <c r="K136" s="23"/>
      <c r="L136" s="62"/>
      <c r="M136" s="62"/>
      <c r="N136" s="62"/>
      <c r="O136" s="25"/>
      <c r="P136" s="25"/>
      <c r="Q136" s="23"/>
      <c r="R136" s="23"/>
      <c r="S136" s="23"/>
      <c r="T136" s="32"/>
    </row>
    <row r="137" spans="1:22" ht="20.25" customHeight="1">
      <c r="A137" s="34">
        <v>7</v>
      </c>
      <c r="B137" s="34" t="s">
        <v>378</v>
      </c>
      <c r="C137" s="36"/>
      <c r="D137" s="28"/>
      <c r="E137" s="28"/>
      <c r="F137" s="25">
        <v>40</v>
      </c>
      <c r="G137" s="28"/>
      <c r="H137" s="28"/>
      <c r="I137" s="61"/>
      <c r="J137" s="62"/>
      <c r="K137" s="23"/>
      <c r="L137" s="62"/>
      <c r="M137" s="62"/>
      <c r="N137" s="62"/>
      <c r="O137" s="25"/>
      <c r="P137" s="25"/>
      <c r="Q137" s="23"/>
      <c r="R137" s="23"/>
      <c r="S137" s="23"/>
      <c r="T137" s="32"/>
      <c r="U137" s="72"/>
    </row>
    <row r="138" spans="1:22" ht="20.25" customHeight="1">
      <c r="A138" s="34">
        <v>8</v>
      </c>
      <c r="B138" s="71" t="s">
        <v>379</v>
      </c>
      <c r="C138" s="12">
        <v>24</v>
      </c>
      <c r="D138" s="28"/>
      <c r="E138" s="28"/>
      <c r="F138" s="25">
        <v>24</v>
      </c>
      <c r="G138" s="28"/>
      <c r="H138" s="28"/>
      <c r="I138" s="61"/>
      <c r="J138" s="62"/>
      <c r="K138" s="28"/>
      <c r="L138" s="62"/>
      <c r="M138" s="62"/>
      <c r="N138" s="62"/>
      <c r="O138" s="25"/>
      <c r="P138" s="25"/>
      <c r="Q138" s="23"/>
      <c r="R138" s="23"/>
      <c r="S138" s="23"/>
      <c r="T138" s="32"/>
    </row>
    <row r="139" spans="1:22" ht="20.25" customHeight="1">
      <c r="A139" s="34">
        <v>9</v>
      </c>
      <c r="B139" s="34" t="s">
        <v>380</v>
      </c>
      <c r="C139" s="12"/>
      <c r="D139" s="28"/>
      <c r="E139" s="28"/>
      <c r="F139" s="25"/>
      <c r="G139" s="23"/>
      <c r="H139" s="23"/>
      <c r="I139" s="23"/>
      <c r="J139" s="62"/>
      <c r="K139" s="28"/>
      <c r="L139" s="62"/>
      <c r="M139" s="62"/>
      <c r="N139" s="62"/>
      <c r="O139" s="25"/>
      <c r="P139" s="25"/>
      <c r="Q139" s="23"/>
      <c r="R139" s="23"/>
      <c r="S139" s="23"/>
      <c r="T139" s="34"/>
      <c r="U139" s="72"/>
    </row>
    <row r="140" spans="1:22" ht="20.25" customHeight="1">
      <c r="A140" s="34">
        <v>10</v>
      </c>
      <c r="B140" s="11" t="s">
        <v>381</v>
      </c>
      <c r="C140" s="36">
        <v>40</v>
      </c>
      <c r="D140" s="28"/>
      <c r="E140" s="28"/>
      <c r="F140" s="25"/>
      <c r="G140" s="28"/>
      <c r="H140" s="28"/>
      <c r="I140" s="61"/>
      <c r="J140" s="62"/>
      <c r="K140" s="28"/>
      <c r="L140" s="62"/>
      <c r="M140" s="62"/>
      <c r="N140" s="62"/>
      <c r="O140" s="25"/>
      <c r="P140" s="25"/>
      <c r="Q140" s="23"/>
      <c r="R140" s="23"/>
      <c r="S140" s="23"/>
      <c r="T140" s="32"/>
    </row>
    <row r="141" spans="1:22" ht="20.25" customHeight="1">
      <c r="A141" s="34">
        <v>11</v>
      </c>
      <c r="B141" s="34" t="s">
        <v>382</v>
      </c>
      <c r="C141" s="12"/>
      <c r="D141" s="28"/>
      <c r="E141" s="28"/>
      <c r="F141" s="25"/>
      <c r="G141" s="61"/>
      <c r="H141" s="23"/>
      <c r="I141" s="25"/>
      <c r="J141" s="62"/>
      <c r="K141" s="23"/>
      <c r="L141" s="62"/>
      <c r="M141" s="62"/>
      <c r="N141" s="62"/>
      <c r="O141" s="25"/>
      <c r="P141" s="25"/>
      <c r="Q141" s="23"/>
      <c r="R141" s="23"/>
      <c r="S141" s="23"/>
      <c r="T141" s="34"/>
      <c r="U141" s="74"/>
      <c r="V141" s="72"/>
    </row>
    <row r="142" spans="1:22" ht="20.25" customHeight="1">
      <c r="A142" s="34">
        <v>12</v>
      </c>
      <c r="B142" s="71" t="s">
        <v>383</v>
      </c>
      <c r="C142" s="12"/>
      <c r="D142" s="28"/>
      <c r="E142" s="28"/>
      <c r="F142" s="25">
        <v>120</v>
      </c>
      <c r="G142" s="28"/>
      <c r="H142" s="28"/>
      <c r="I142" s="61"/>
      <c r="J142" s="62"/>
      <c r="K142" s="23"/>
      <c r="L142" s="62"/>
      <c r="M142" s="62"/>
      <c r="N142" s="62"/>
      <c r="O142" s="25"/>
      <c r="P142" s="25"/>
      <c r="Q142" s="23"/>
      <c r="R142" s="23"/>
      <c r="S142" s="23"/>
      <c r="T142" s="32"/>
    </row>
    <row r="143" spans="1:22" ht="20.25" customHeight="1">
      <c r="A143" s="34">
        <v>13</v>
      </c>
      <c r="B143" s="34" t="s">
        <v>384</v>
      </c>
      <c r="C143" s="12"/>
      <c r="D143" s="28"/>
      <c r="E143" s="28"/>
      <c r="F143" s="25"/>
      <c r="G143" s="28"/>
      <c r="H143" s="28"/>
      <c r="I143" s="61"/>
      <c r="J143" s="62"/>
      <c r="K143" s="28"/>
      <c r="L143" s="62"/>
      <c r="M143" s="62"/>
      <c r="N143" s="62"/>
      <c r="O143" s="25"/>
      <c r="P143" s="25"/>
      <c r="Q143" s="23"/>
      <c r="R143" s="23"/>
      <c r="S143" s="23"/>
      <c r="T143" s="32"/>
    </row>
    <row r="144" spans="1:22" ht="20.25" customHeight="1">
      <c r="A144" s="34">
        <v>14</v>
      </c>
      <c r="B144" s="34" t="s">
        <v>385</v>
      </c>
      <c r="C144" s="12">
        <v>8</v>
      </c>
      <c r="D144" s="28"/>
      <c r="E144" s="28"/>
      <c r="F144" s="25"/>
      <c r="G144" s="28"/>
      <c r="H144" s="28"/>
      <c r="I144" s="61"/>
      <c r="J144" s="62"/>
      <c r="K144" s="28"/>
      <c r="L144" s="62"/>
      <c r="M144" s="62"/>
      <c r="N144" s="62"/>
      <c r="O144" s="25"/>
      <c r="P144" s="25"/>
      <c r="Q144" s="23"/>
      <c r="R144" s="23"/>
      <c r="S144" s="23"/>
      <c r="T144" s="32"/>
    </row>
    <row r="145" spans="1:22" ht="20.25" customHeight="1">
      <c r="A145" s="34">
        <v>15</v>
      </c>
      <c r="B145" s="71" t="s">
        <v>386</v>
      </c>
      <c r="C145" s="12"/>
      <c r="D145" s="28"/>
      <c r="E145" s="28"/>
      <c r="F145" s="25">
        <v>8</v>
      </c>
      <c r="G145" s="28"/>
      <c r="H145" s="28"/>
      <c r="I145" s="61"/>
      <c r="J145" s="62"/>
      <c r="K145" s="28"/>
      <c r="L145" s="62"/>
      <c r="M145" s="62"/>
      <c r="N145" s="62"/>
      <c r="O145" s="25"/>
      <c r="P145" s="25"/>
      <c r="Q145" s="23"/>
      <c r="R145" s="23"/>
      <c r="S145" s="23"/>
      <c r="T145" s="32"/>
    </row>
    <row r="146" spans="1:22" ht="20.25" customHeight="1">
      <c r="A146" s="34">
        <v>16</v>
      </c>
      <c r="B146" s="34" t="s">
        <v>387</v>
      </c>
      <c r="C146" s="12"/>
      <c r="D146" s="28"/>
      <c r="E146" s="28"/>
      <c r="F146" s="25">
        <v>120</v>
      </c>
      <c r="G146" s="23"/>
      <c r="H146" s="23"/>
      <c r="I146" s="61"/>
      <c r="J146" s="62"/>
      <c r="K146" s="28"/>
      <c r="L146" s="62"/>
      <c r="M146" s="62"/>
      <c r="N146" s="62"/>
      <c r="O146" s="25"/>
      <c r="P146" s="25"/>
      <c r="Q146" s="23"/>
      <c r="R146" s="23"/>
      <c r="S146" s="23"/>
      <c r="T146" s="34"/>
      <c r="U146" s="74"/>
      <c r="V146" s="72"/>
    </row>
    <row r="147" spans="1:22" ht="20.25" customHeight="1">
      <c r="A147" s="34">
        <v>17</v>
      </c>
      <c r="B147" s="34" t="s">
        <v>388</v>
      </c>
      <c r="C147" s="12"/>
      <c r="D147" s="28"/>
      <c r="E147" s="28"/>
      <c r="F147" s="25">
        <v>64</v>
      </c>
      <c r="G147" s="23"/>
      <c r="H147" s="23"/>
      <c r="I147" s="23"/>
      <c r="J147" s="62"/>
      <c r="K147" s="28"/>
      <c r="L147" s="62"/>
      <c r="M147" s="62"/>
      <c r="N147" s="62"/>
      <c r="O147" s="25"/>
      <c r="P147" s="25"/>
      <c r="Q147" s="23"/>
      <c r="R147" s="23"/>
      <c r="S147" s="23"/>
      <c r="T147" s="34"/>
      <c r="U147" s="72"/>
    </row>
    <row r="148" spans="1:22" ht="20.25" customHeight="1">
      <c r="A148" s="34">
        <v>18</v>
      </c>
      <c r="B148" s="34" t="s">
        <v>389</v>
      </c>
      <c r="C148" s="12"/>
      <c r="D148" s="28"/>
      <c r="E148" s="28"/>
      <c r="F148" s="25">
        <v>88</v>
      </c>
      <c r="G148" s="23"/>
      <c r="H148" s="23"/>
      <c r="I148" s="23"/>
      <c r="J148" s="62"/>
      <c r="K148" s="28"/>
      <c r="L148" s="62"/>
      <c r="M148" s="62"/>
      <c r="N148" s="62"/>
      <c r="O148" s="25"/>
      <c r="P148" s="25"/>
      <c r="Q148" s="23"/>
      <c r="R148" s="23"/>
      <c r="S148" s="23"/>
      <c r="T148" s="34"/>
      <c r="U148" s="72"/>
    </row>
    <row r="149" spans="1:22" ht="20.25" customHeight="1">
      <c r="A149" s="34">
        <v>19</v>
      </c>
      <c r="B149" s="34" t="s">
        <v>390</v>
      </c>
      <c r="C149" s="12"/>
      <c r="D149" s="28"/>
      <c r="E149" s="28"/>
      <c r="F149" s="25">
        <v>40</v>
      </c>
      <c r="G149" s="28"/>
      <c r="H149" s="28"/>
      <c r="I149" s="61"/>
      <c r="J149" s="62"/>
      <c r="K149" s="28"/>
      <c r="L149" s="62"/>
      <c r="M149" s="62"/>
      <c r="N149" s="62"/>
      <c r="O149" s="25"/>
      <c r="P149" s="25"/>
      <c r="Q149" s="23"/>
      <c r="R149" s="23"/>
      <c r="S149" s="23"/>
      <c r="T149" s="32"/>
    </row>
    <row r="150" spans="1:22" ht="20.25" customHeight="1">
      <c r="A150" s="63" t="s">
        <v>391</v>
      </c>
      <c r="B150" s="64"/>
      <c r="C150" s="65"/>
      <c r="D150" s="28"/>
      <c r="E150" s="28"/>
      <c r="F150" s="25"/>
      <c r="G150" s="28"/>
      <c r="H150" s="28"/>
      <c r="I150" s="61"/>
      <c r="J150" s="62"/>
      <c r="K150" s="28"/>
      <c r="L150" s="62"/>
      <c r="M150" s="62"/>
      <c r="N150" s="62"/>
      <c r="O150" s="25"/>
      <c r="P150" s="25"/>
      <c r="Q150" s="23"/>
      <c r="R150" s="23"/>
      <c r="S150" s="23"/>
      <c r="T150" s="32"/>
    </row>
    <row r="151" spans="1:22" ht="20.25" customHeight="1">
      <c r="A151" s="34">
        <v>1</v>
      </c>
      <c r="B151" s="34" t="s">
        <v>392</v>
      </c>
      <c r="C151" s="12"/>
      <c r="D151" s="28"/>
      <c r="E151" s="28"/>
      <c r="F151" s="25"/>
      <c r="G151" s="28"/>
      <c r="H151" s="28"/>
      <c r="I151" s="61"/>
      <c r="J151" s="62"/>
      <c r="K151" s="23"/>
      <c r="L151" s="62"/>
      <c r="M151" s="62"/>
      <c r="N151" s="62"/>
      <c r="O151" s="25">
        <v>27.5</v>
      </c>
      <c r="P151" s="25"/>
      <c r="Q151" s="23"/>
      <c r="R151" s="23">
        <v>42.5</v>
      </c>
      <c r="S151" s="23"/>
      <c r="T151" s="32"/>
    </row>
    <row r="152" spans="1:22" ht="20.25" customHeight="1">
      <c r="A152" s="34">
        <v>2</v>
      </c>
      <c r="B152" s="34" t="s">
        <v>394</v>
      </c>
      <c r="C152" s="12"/>
      <c r="D152" s="28"/>
      <c r="E152" s="28"/>
      <c r="F152" s="25"/>
      <c r="G152" s="28"/>
      <c r="H152" s="28"/>
      <c r="I152" s="61"/>
      <c r="J152" s="62"/>
      <c r="K152" s="23"/>
      <c r="L152" s="62"/>
      <c r="M152" s="62"/>
      <c r="N152" s="62"/>
      <c r="O152" s="25">
        <v>22</v>
      </c>
      <c r="P152" s="25"/>
      <c r="Q152" s="23"/>
      <c r="R152" s="23">
        <v>46</v>
      </c>
      <c r="S152" s="23"/>
      <c r="T152" s="32"/>
    </row>
    <row r="153" spans="1:22" ht="20.25" customHeight="1">
      <c r="A153" s="34">
        <v>3</v>
      </c>
      <c r="B153" s="34" t="s">
        <v>395</v>
      </c>
      <c r="C153" s="54">
        <v>8</v>
      </c>
      <c r="D153" s="28"/>
      <c r="E153" s="28"/>
      <c r="F153" s="25"/>
      <c r="G153" s="23"/>
      <c r="H153" s="28"/>
      <c r="I153" s="61"/>
      <c r="J153" s="62"/>
      <c r="K153" s="23"/>
      <c r="L153" s="62"/>
      <c r="M153" s="62"/>
      <c r="N153" s="62"/>
      <c r="O153" s="25">
        <v>28</v>
      </c>
      <c r="P153" s="25"/>
      <c r="Q153" s="23"/>
      <c r="R153" s="23">
        <v>47</v>
      </c>
      <c r="S153" s="23"/>
      <c r="T153" s="32"/>
    </row>
    <row r="154" spans="1:22" ht="20.25" customHeight="1">
      <c r="A154" s="34">
        <v>4</v>
      </c>
      <c r="B154" s="34" t="s">
        <v>396</v>
      </c>
      <c r="C154" s="54"/>
      <c r="D154" s="28"/>
      <c r="E154" s="23"/>
      <c r="F154" s="25"/>
      <c r="G154" s="61"/>
      <c r="H154" s="28"/>
      <c r="I154" s="61"/>
      <c r="J154" s="62"/>
      <c r="K154" s="23"/>
      <c r="L154" s="62"/>
      <c r="M154" s="62"/>
      <c r="N154" s="62"/>
      <c r="O154" s="25"/>
      <c r="P154" s="25"/>
      <c r="Q154" s="23"/>
      <c r="R154" s="23"/>
      <c r="S154" s="23"/>
      <c r="T154" s="32"/>
    </row>
    <row r="155" spans="1:22" ht="20.25" customHeight="1">
      <c r="A155" s="34">
        <v>5</v>
      </c>
      <c r="B155" s="34" t="s">
        <v>397</v>
      </c>
      <c r="C155" s="36"/>
      <c r="D155" s="23"/>
      <c r="E155" s="27"/>
      <c r="F155" s="25">
        <v>40</v>
      </c>
      <c r="G155" s="28"/>
      <c r="H155" s="28"/>
      <c r="I155" s="61">
        <v>3.5</v>
      </c>
      <c r="J155" s="62">
        <f t="shared" ref="J155:J158" si="2">I155*8</f>
        <v>28</v>
      </c>
      <c r="K155" s="23">
        <v>5</v>
      </c>
      <c r="L155" s="16">
        <f t="shared" ref="L155:L157" si="3">K155*12</f>
        <v>60</v>
      </c>
      <c r="M155" s="16">
        <f t="shared" ref="M155:M157" si="4">K155*4</f>
        <v>20</v>
      </c>
      <c r="N155" s="62">
        <f t="shared" ref="N155:N158" si="5">M155+L155+J155</f>
        <v>108</v>
      </c>
      <c r="O155" s="25"/>
      <c r="P155" s="25"/>
      <c r="Q155" s="23"/>
      <c r="R155" s="23"/>
      <c r="S155" s="23"/>
      <c r="T155" s="32"/>
    </row>
    <row r="156" spans="1:22" ht="20.25" customHeight="1">
      <c r="A156" s="34">
        <v>6</v>
      </c>
      <c r="B156" s="34" t="s">
        <v>398</v>
      </c>
      <c r="C156" s="36"/>
      <c r="D156" s="23"/>
      <c r="E156" s="27"/>
      <c r="F156" s="25">
        <v>88</v>
      </c>
      <c r="G156" s="28"/>
      <c r="H156" s="28"/>
      <c r="I156" s="61"/>
      <c r="J156" s="62"/>
      <c r="K156" s="23"/>
      <c r="L156" s="16"/>
      <c r="M156" s="16"/>
      <c r="N156" s="62"/>
      <c r="O156" s="25"/>
      <c r="P156" s="25"/>
      <c r="Q156" s="23"/>
      <c r="R156" s="23"/>
      <c r="S156" s="23"/>
      <c r="T156" s="32"/>
    </row>
    <row r="157" spans="1:22" ht="20.25" customHeight="1">
      <c r="A157" s="34">
        <v>7</v>
      </c>
      <c r="B157" s="34" t="s">
        <v>399</v>
      </c>
      <c r="C157" s="36"/>
      <c r="D157" s="23"/>
      <c r="E157" s="27"/>
      <c r="F157" s="25">
        <v>72</v>
      </c>
      <c r="G157" s="28"/>
      <c r="H157" s="28"/>
      <c r="I157" s="61">
        <v>1.5</v>
      </c>
      <c r="J157" s="62">
        <f t="shared" si="2"/>
        <v>12</v>
      </c>
      <c r="K157" s="23">
        <v>2</v>
      </c>
      <c r="L157" s="16">
        <f t="shared" si="3"/>
        <v>24</v>
      </c>
      <c r="M157" s="16">
        <f t="shared" si="4"/>
        <v>8</v>
      </c>
      <c r="N157" s="62">
        <f t="shared" si="5"/>
        <v>44</v>
      </c>
      <c r="O157" s="25"/>
      <c r="P157" s="25"/>
      <c r="Q157" s="23"/>
      <c r="R157" s="23"/>
      <c r="S157" s="23"/>
      <c r="T157" s="32"/>
    </row>
    <row r="158" spans="1:22" ht="20.25" customHeight="1">
      <c r="A158" s="34">
        <v>8</v>
      </c>
      <c r="B158" s="34" t="s">
        <v>400</v>
      </c>
      <c r="C158" s="36"/>
      <c r="D158" s="23"/>
      <c r="E158" s="27"/>
      <c r="F158" s="25">
        <v>88</v>
      </c>
      <c r="G158" s="28"/>
      <c r="H158" s="28"/>
      <c r="I158" s="30">
        <v>1</v>
      </c>
      <c r="J158" s="16">
        <f t="shared" si="2"/>
        <v>8</v>
      </c>
      <c r="K158" s="17"/>
      <c r="L158" s="16"/>
      <c r="M158" s="16"/>
      <c r="N158" s="16">
        <f t="shared" si="5"/>
        <v>8</v>
      </c>
      <c r="O158" s="25"/>
      <c r="P158" s="25"/>
      <c r="Q158" s="23"/>
      <c r="R158" s="23"/>
      <c r="S158" s="23"/>
      <c r="T158" s="32"/>
    </row>
    <row r="159" spans="1:22" ht="20.25" customHeight="1">
      <c r="A159" s="63" t="s">
        <v>401</v>
      </c>
      <c r="B159" s="64"/>
      <c r="C159" s="65"/>
      <c r="D159" s="28"/>
      <c r="E159" s="28"/>
      <c r="F159" s="25"/>
      <c r="G159" s="28"/>
      <c r="H159" s="28"/>
      <c r="I159" s="61"/>
      <c r="J159" s="62"/>
      <c r="K159" s="28"/>
      <c r="L159" s="62"/>
      <c r="M159" s="62"/>
      <c r="N159" s="62"/>
      <c r="O159" s="25"/>
      <c r="P159" s="25"/>
      <c r="Q159" s="23"/>
      <c r="R159" s="23"/>
      <c r="S159" s="23"/>
      <c r="T159" s="32"/>
    </row>
    <row r="160" spans="1:22" ht="20.25" customHeight="1">
      <c r="A160" s="34">
        <v>1</v>
      </c>
      <c r="B160" s="34" t="s">
        <v>402</v>
      </c>
      <c r="C160" s="12"/>
      <c r="D160" s="28"/>
      <c r="E160" s="28"/>
      <c r="F160" s="25"/>
      <c r="G160" s="28"/>
      <c r="H160" s="28"/>
      <c r="I160" s="61"/>
      <c r="J160" s="62"/>
      <c r="K160" s="28"/>
      <c r="L160" s="16"/>
      <c r="M160" s="16"/>
      <c r="N160" s="62"/>
      <c r="O160" s="25"/>
      <c r="P160" s="25"/>
      <c r="Q160" s="23"/>
      <c r="R160" s="23"/>
      <c r="S160" s="23"/>
      <c r="T160" s="32"/>
    </row>
    <row r="161" spans="1:23" ht="20.25" customHeight="1">
      <c r="A161" s="34">
        <v>2</v>
      </c>
      <c r="B161" s="34" t="s">
        <v>403</v>
      </c>
      <c r="C161" s="12"/>
      <c r="D161" s="28"/>
      <c r="E161" s="28"/>
      <c r="F161" s="25">
        <v>88</v>
      </c>
      <c r="G161" s="28"/>
      <c r="H161" s="28"/>
      <c r="I161" s="61">
        <v>1</v>
      </c>
      <c r="J161" s="62">
        <f>I161*8</f>
        <v>8</v>
      </c>
      <c r="K161" s="28"/>
      <c r="L161" s="16"/>
      <c r="M161" s="16"/>
      <c r="N161" s="62">
        <f>M161+L161+J161</f>
        <v>8</v>
      </c>
      <c r="O161" s="25"/>
      <c r="P161" s="25"/>
      <c r="Q161" s="23"/>
      <c r="R161" s="23"/>
      <c r="S161" s="23"/>
      <c r="T161" s="32"/>
    </row>
    <row r="162" spans="1:23" ht="20.25" customHeight="1">
      <c r="A162" s="34">
        <v>3</v>
      </c>
      <c r="B162" s="34" t="s">
        <v>404</v>
      </c>
      <c r="C162" s="12"/>
      <c r="D162" s="28"/>
      <c r="E162" s="28"/>
      <c r="F162" s="25"/>
      <c r="G162" s="28"/>
      <c r="H162" s="28"/>
      <c r="I162" s="61"/>
      <c r="J162" s="62"/>
      <c r="K162" s="28"/>
      <c r="L162" s="16"/>
      <c r="M162" s="16"/>
      <c r="N162" s="16"/>
      <c r="O162" s="25"/>
      <c r="P162" s="25"/>
      <c r="Q162" s="23"/>
      <c r="R162" s="23"/>
      <c r="S162" s="23"/>
      <c r="T162" s="32"/>
    </row>
    <row r="163" spans="1:23" ht="20.25" customHeight="1">
      <c r="A163" s="34">
        <v>4</v>
      </c>
      <c r="B163" s="34" t="s">
        <v>405</v>
      </c>
      <c r="C163" s="12"/>
      <c r="D163" s="28"/>
      <c r="E163" s="28"/>
      <c r="F163" s="25">
        <v>120</v>
      </c>
      <c r="G163" s="28"/>
      <c r="H163" s="28"/>
      <c r="I163" s="61"/>
      <c r="J163" s="62"/>
      <c r="K163" s="28"/>
      <c r="L163" s="16"/>
      <c r="M163" s="16"/>
      <c r="N163" s="16"/>
      <c r="O163" s="25"/>
      <c r="P163" s="25"/>
      <c r="Q163" s="23"/>
      <c r="R163" s="23"/>
      <c r="S163" s="23"/>
      <c r="T163" s="32"/>
    </row>
    <row r="164" spans="1:23" ht="20.25" customHeight="1">
      <c r="A164" s="63" t="s">
        <v>406</v>
      </c>
      <c r="B164" s="64"/>
      <c r="C164" s="65"/>
      <c r="D164" s="28"/>
      <c r="E164" s="28"/>
      <c r="F164" s="25"/>
      <c r="G164" s="28"/>
      <c r="H164" s="28"/>
      <c r="I164" s="61"/>
      <c r="J164" s="62"/>
      <c r="K164" s="28"/>
      <c r="L164" s="62"/>
      <c r="M164" s="62"/>
      <c r="N164" s="62"/>
      <c r="O164" s="25"/>
      <c r="P164" s="25"/>
      <c r="Q164" s="23"/>
      <c r="R164" s="23"/>
      <c r="S164" s="23"/>
      <c r="T164" s="32"/>
      <c r="U164" s="74"/>
      <c r="V164" s="72"/>
    </row>
    <row r="165" spans="1:23" ht="20.25" customHeight="1">
      <c r="A165" s="34">
        <v>1</v>
      </c>
      <c r="B165" s="34" t="s">
        <v>407</v>
      </c>
      <c r="C165" s="12"/>
      <c r="D165" s="28"/>
      <c r="E165" s="28"/>
      <c r="F165" s="25">
        <v>16</v>
      </c>
      <c r="G165" s="28"/>
      <c r="H165" s="28"/>
      <c r="I165" s="61"/>
      <c r="J165" s="62"/>
      <c r="K165" s="23"/>
      <c r="L165" s="16"/>
      <c r="M165" s="16"/>
      <c r="N165" s="62"/>
      <c r="O165" s="25"/>
      <c r="P165" s="25"/>
      <c r="Q165" s="23"/>
      <c r="R165" s="23"/>
      <c r="S165" s="23"/>
      <c r="T165" s="32"/>
    </row>
    <row r="166" spans="1:23" ht="20.25" customHeight="1">
      <c r="A166" s="34">
        <v>2</v>
      </c>
      <c r="B166" s="34" t="s">
        <v>408</v>
      </c>
      <c r="C166" s="12"/>
      <c r="D166" s="28"/>
      <c r="E166" s="28"/>
      <c r="F166" s="25">
        <v>120</v>
      </c>
      <c r="G166" s="28"/>
      <c r="H166" s="28"/>
      <c r="I166" s="61"/>
      <c r="J166" s="62"/>
      <c r="K166" s="23"/>
      <c r="L166" s="16"/>
      <c r="M166" s="16"/>
      <c r="N166" s="62"/>
      <c r="O166" s="25"/>
      <c r="P166" s="25"/>
      <c r="Q166" s="23"/>
      <c r="R166" s="23"/>
      <c r="S166" s="23"/>
      <c r="T166" s="32"/>
    </row>
    <row r="167" spans="1:23" ht="20.25" customHeight="1">
      <c r="A167" s="34">
        <v>3</v>
      </c>
      <c r="B167" s="34" t="s">
        <v>409</v>
      </c>
      <c r="C167" s="12"/>
      <c r="D167" s="28"/>
      <c r="E167" s="28"/>
      <c r="F167" s="25"/>
      <c r="G167" s="28"/>
      <c r="H167" s="28"/>
      <c r="I167" s="61"/>
      <c r="J167" s="62"/>
      <c r="K167" s="23"/>
      <c r="L167" s="16"/>
      <c r="M167" s="16"/>
      <c r="N167" s="62"/>
      <c r="O167" s="25"/>
      <c r="P167" s="25">
        <v>20</v>
      </c>
      <c r="Q167" s="23">
        <v>40</v>
      </c>
      <c r="R167" s="23"/>
      <c r="S167" s="23"/>
      <c r="T167" s="32"/>
    </row>
    <row r="168" spans="1:23" ht="20.25" customHeight="1">
      <c r="A168" s="34">
        <v>4</v>
      </c>
      <c r="B168" s="34" t="s">
        <v>410</v>
      </c>
      <c r="C168" s="12"/>
      <c r="D168" s="28"/>
      <c r="E168" s="28"/>
      <c r="F168" s="25"/>
      <c r="G168" s="28"/>
      <c r="H168" s="28"/>
      <c r="I168" s="61">
        <v>4</v>
      </c>
      <c r="J168" s="62">
        <f t="shared" ref="J168:J180" si="6">I168*8</f>
        <v>32</v>
      </c>
      <c r="K168" s="23"/>
      <c r="L168" s="16"/>
      <c r="M168" s="16"/>
      <c r="N168" s="62">
        <f t="shared" ref="N168:N180" si="7">M168+L168+J168</f>
        <v>32</v>
      </c>
      <c r="O168" s="25"/>
      <c r="P168" s="25">
        <v>18</v>
      </c>
      <c r="Q168" s="23">
        <v>32</v>
      </c>
      <c r="R168" s="23"/>
      <c r="S168" s="23"/>
      <c r="T168" s="32"/>
    </row>
    <row r="169" spans="1:23" ht="20.25" customHeight="1">
      <c r="A169" s="34">
        <v>5</v>
      </c>
      <c r="B169" s="34" t="s">
        <v>411</v>
      </c>
      <c r="C169" s="12"/>
      <c r="D169" s="28"/>
      <c r="E169" s="28"/>
      <c r="F169" s="25">
        <v>72</v>
      </c>
      <c r="G169" s="28"/>
      <c r="H169" s="28"/>
      <c r="I169" s="61"/>
      <c r="J169" s="62"/>
      <c r="K169" s="23"/>
      <c r="L169" s="16"/>
      <c r="M169" s="16"/>
      <c r="N169" s="62"/>
      <c r="O169" s="25"/>
      <c r="P169" s="25"/>
      <c r="Q169" s="23"/>
      <c r="R169" s="23"/>
      <c r="S169" s="23"/>
      <c r="T169" s="32"/>
    </row>
    <row r="170" spans="1:23" ht="20.25" customHeight="1">
      <c r="A170" s="34">
        <v>6</v>
      </c>
      <c r="B170" s="34" t="s">
        <v>412</v>
      </c>
      <c r="C170" s="12">
        <v>24</v>
      </c>
      <c r="D170" s="28"/>
      <c r="E170" s="28"/>
      <c r="F170" s="25">
        <v>64</v>
      </c>
      <c r="G170" s="28"/>
      <c r="H170" s="28"/>
      <c r="I170" s="61"/>
      <c r="J170" s="62"/>
      <c r="K170" s="23"/>
      <c r="L170" s="16"/>
      <c r="M170" s="16"/>
      <c r="N170" s="62"/>
      <c r="O170" s="25"/>
      <c r="P170" s="25"/>
      <c r="Q170" s="23"/>
      <c r="R170" s="23"/>
      <c r="S170" s="23"/>
      <c r="T170" s="32"/>
    </row>
    <row r="171" spans="1:23" ht="20.25" customHeight="1">
      <c r="A171" s="34">
        <v>7</v>
      </c>
      <c r="B171" s="34" t="s">
        <v>413</v>
      </c>
      <c r="C171" s="12"/>
      <c r="D171" s="28"/>
      <c r="E171" s="28"/>
      <c r="F171" s="25">
        <v>112</v>
      </c>
      <c r="G171" s="28"/>
      <c r="H171" s="28"/>
      <c r="I171" s="61">
        <v>1</v>
      </c>
      <c r="J171" s="62">
        <f t="shared" si="6"/>
        <v>8</v>
      </c>
      <c r="K171" s="23"/>
      <c r="L171" s="16"/>
      <c r="M171" s="16"/>
      <c r="N171" s="62">
        <f t="shared" si="7"/>
        <v>8</v>
      </c>
      <c r="O171" s="25"/>
      <c r="P171" s="25"/>
      <c r="Q171" s="23"/>
      <c r="R171" s="23"/>
      <c r="S171" s="23"/>
      <c r="T171" s="32"/>
    </row>
    <row r="172" spans="1:23" ht="20.25" customHeight="1">
      <c r="A172" s="34">
        <v>8</v>
      </c>
      <c r="B172" s="34" t="s">
        <v>414</v>
      </c>
      <c r="C172" s="12"/>
      <c r="D172" s="28"/>
      <c r="E172" s="28"/>
      <c r="F172" s="25">
        <v>88</v>
      </c>
      <c r="G172" s="28"/>
      <c r="H172" s="28"/>
      <c r="I172" s="61">
        <v>2</v>
      </c>
      <c r="J172" s="62">
        <f t="shared" si="6"/>
        <v>16</v>
      </c>
      <c r="K172" s="23"/>
      <c r="L172" s="16"/>
      <c r="M172" s="16"/>
      <c r="N172" s="62">
        <f t="shared" si="7"/>
        <v>16</v>
      </c>
      <c r="O172" s="25"/>
      <c r="P172" s="25"/>
      <c r="Q172" s="23"/>
      <c r="R172" s="23"/>
      <c r="S172" s="23"/>
      <c r="T172" s="32"/>
    </row>
    <row r="173" spans="1:23" ht="20.25" customHeight="1">
      <c r="A173" s="34">
        <v>9</v>
      </c>
      <c r="B173" s="34" t="s">
        <v>415</v>
      </c>
      <c r="C173" s="12"/>
      <c r="D173" s="28"/>
      <c r="E173" s="28"/>
      <c r="F173" s="25">
        <v>64</v>
      </c>
      <c r="G173" s="28"/>
      <c r="H173" s="28"/>
      <c r="I173" s="61"/>
      <c r="J173" s="62"/>
      <c r="K173" s="23"/>
      <c r="L173" s="16"/>
      <c r="M173" s="16"/>
      <c r="N173" s="62"/>
      <c r="O173" s="25"/>
      <c r="P173" s="25"/>
      <c r="Q173" s="23"/>
      <c r="R173" s="23"/>
      <c r="S173" s="23"/>
      <c r="T173" s="32"/>
    </row>
    <row r="174" spans="1:23" ht="20.25" customHeight="1">
      <c r="A174" s="34">
        <v>10</v>
      </c>
      <c r="B174" s="71" t="s">
        <v>416</v>
      </c>
      <c r="C174" s="12">
        <v>8</v>
      </c>
      <c r="D174" s="28"/>
      <c r="E174" s="28"/>
      <c r="F174" s="25">
        <v>64</v>
      </c>
      <c r="G174" s="28"/>
      <c r="H174" s="28"/>
      <c r="I174" s="61">
        <v>3</v>
      </c>
      <c r="J174" s="62">
        <f t="shared" si="6"/>
        <v>24</v>
      </c>
      <c r="K174" s="23"/>
      <c r="L174" s="16"/>
      <c r="M174" s="16"/>
      <c r="N174" s="62">
        <f t="shared" si="7"/>
        <v>24</v>
      </c>
      <c r="O174" s="25"/>
      <c r="P174" s="25"/>
      <c r="Q174" s="23"/>
      <c r="R174" s="23"/>
      <c r="S174" s="23"/>
      <c r="T174" s="32"/>
    </row>
    <row r="175" spans="1:23" ht="20.25" customHeight="1">
      <c r="A175" s="34">
        <v>11</v>
      </c>
      <c r="B175" s="71" t="s">
        <v>417</v>
      </c>
      <c r="C175" s="12">
        <v>24</v>
      </c>
      <c r="D175" s="28"/>
      <c r="E175" s="28"/>
      <c r="F175" s="25">
        <v>40</v>
      </c>
      <c r="G175" s="28"/>
      <c r="H175" s="28"/>
      <c r="I175" s="61"/>
      <c r="J175" s="62"/>
      <c r="K175" s="23"/>
      <c r="L175" s="16"/>
      <c r="M175" s="16"/>
      <c r="N175" s="62"/>
      <c r="O175" s="25"/>
      <c r="P175" s="25"/>
      <c r="Q175" s="23"/>
      <c r="R175" s="23"/>
      <c r="S175" s="23"/>
      <c r="T175" s="32"/>
    </row>
    <row r="176" spans="1:23" ht="20.25" customHeight="1">
      <c r="A176" s="34">
        <v>12</v>
      </c>
      <c r="B176" s="71" t="s">
        <v>418</v>
      </c>
      <c r="C176" s="12"/>
      <c r="D176" s="28"/>
      <c r="E176" s="28"/>
      <c r="F176" s="25">
        <v>80</v>
      </c>
      <c r="G176" s="28"/>
      <c r="H176" s="28"/>
      <c r="I176" s="25"/>
      <c r="J176" s="62"/>
      <c r="K176" s="23"/>
      <c r="L176" s="16"/>
      <c r="M176" s="16"/>
      <c r="N176" s="62"/>
      <c r="O176" s="25"/>
      <c r="P176" s="25"/>
      <c r="Q176" s="23"/>
      <c r="R176" s="23"/>
      <c r="S176" s="23"/>
      <c r="T176" s="32"/>
      <c r="W176" s="1" t="s">
        <v>419</v>
      </c>
    </row>
    <row r="177" spans="1:21" ht="20.25" customHeight="1">
      <c r="A177" s="34">
        <v>13</v>
      </c>
      <c r="B177" s="71" t="s">
        <v>420</v>
      </c>
      <c r="C177" s="12"/>
      <c r="D177" s="28"/>
      <c r="E177" s="28"/>
      <c r="F177" s="25">
        <v>40</v>
      </c>
      <c r="G177" s="28"/>
      <c r="H177" s="28"/>
      <c r="I177" s="25"/>
      <c r="J177" s="62"/>
      <c r="K177" s="23"/>
      <c r="L177" s="16"/>
      <c r="M177" s="16"/>
      <c r="N177" s="62"/>
      <c r="O177" s="25"/>
      <c r="P177" s="25"/>
      <c r="Q177" s="23"/>
      <c r="R177" s="23"/>
      <c r="S177" s="23"/>
      <c r="T177" s="32"/>
    </row>
    <row r="178" spans="1:21" ht="20.25" customHeight="1">
      <c r="A178" s="34">
        <v>14</v>
      </c>
      <c r="B178" s="71" t="s">
        <v>421</v>
      </c>
      <c r="C178" s="12"/>
      <c r="D178" s="28"/>
      <c r="E178" s="28"/>
      <c r="F178" s="25">
        <v>120</v>
      </c>
      <c r="G178" s="28"/>
      <c r="H178" s="28"/>
      <c r="I178" s="25"/>
      <c r="J178" s="62"/>
      <c r="K178" s="23"/>
      <c r="L178" s="16"/>
      <c r="M178" s="16"/>
      <c r="N178" s="62"/>
      <c r="O178" s="25"/>
      <c r="P178" s="25"/>
      <c r="Q178" s="23"/>
      <c r="R178" s="23"/>
      <c r="S178" s="23"/>
      <c r="T178" s="32"/>
    </row>
    <row r="179" spans="1:21" ht="20.25" customHeight="1">
      <c r="A179" s="34">
        <v>15</v>
      </c>
      <c r="B179" s="34" t="s">
        <v>422</v>
      </c>
      <c r="C179" s="12"/>
      <c r="D179" s="28"/>
      <c r="E179" s="28"/>
      <c r="F179" s="25">
        <v>120</v>
      </c>
      <c r="G179" s="23"/>
      <c r="H179" s="23"/>
      <c r="I179" s="25"/>
      <c r="J179" s="62"/>
      <c r="K179" s="23"/>
      <c r="L179" s="16"/>
      <c r="M179" s="16"/>
      <c r="N179" s="62"/>
      <c r="O179" s="25"/>
      <c r="P179" s="25"/>
      <c r="Q179" s="23"/>
      <c r="R179" s="23"/>
      <c r="S179" s="23"/>
      <c r="T179" s="34"/>
      <c r="U179" s="72"/>
    </row>
    <row r="180" spans="1:21" ht="20.25" customHeight="1">
      <c r="A180" s="34">
        <v>16</v>
      </c>
      <c r="B180" s="34" t="s">
        <v>423</v>
      </c>
      <c r="C180" s="12"/>
      <c r="D180" s="28"/>
      <c r="E180" s="28"/>
      <c r="F180" s="25">
        <v>40</v>
      </c>
      <c r="G180" s="23"/>
      <c r="H180" s="23"/>
      <c r="I180" s="25">
        <v>1</v>
      </c>
      <c r="J180" s="62">
        <f t="shared" si="6"/>
        <v>8</v>
      </c>
      <c r="K180" s="23"/>
      <c r="L180" s="16"/>
      <c r="M180" s="16"/>
      <c r="N180" s="62">
        <f t="shared" si="7"/>
        <v>8</v>
      </c>
      <c r="O180" s="25"/>
      <c r="P180" s="25"/>
      <c r="Q180" s="23"/>
      <c r="R180" s="23"/>
      <c r="S180" s="23"/>
      <c r="T180" s="34"/>
      <c r="U180" s="72"/>
    </row>
    <row r="181" spans="1:21" ht="20.25" customHeight="1">
      <c r="A181" s="63" t="s">
        <v>424</v>
      </c>
      <c r="B181" s="64"/>
      <c r="C181" s="65"/>
      <c r="D181" s="28"/>
      <c r="E181" s="28"/>
      <c r="F181" s="25"/>
      <c r="G181" s="28"/>
      <c r="H181" s="28"/>
      <c r="I181" s="25"/>
      <c r="J181" s="62"/>
      <c r="K181" s="23"/>
      <c r="L181" s="62"/>
      <c r="M181" s="62"/>
      <c r="N181" s="62"/>
      <c r="O181" s="25"/>
      <c r="P181" s="25"/>
      <c r="Q181" s="23"/>
      <c r="R181" s="23"/>
      <c r="S181" s="23"/>
      <c r="T181" s="32"/>
    </row>
    <row r="182" spans="1:21" ht="20.25" customHeight="1">
      <c r="I182" s="75"/>
    </row>
    <row r="185" spans="1:21" ht="20.25" customHeight="1">
      <c r="O185" s="75"/>
      <c r="P185" s="75"/>
      <c r="Q185" s="69"/>
      <c r="R185" s="69"/>
    </row>
  </sheetData>
  <mergeCells count="1">
    <mergeCell ref="A1:U1"/>
  </mergeCells>
  <phoneticPr fontId="2" type="noConversion"/>
  <conditionalFormatting sqref="B1">
    <cfRule type="duplicateValues" dxfId="15" priority="5"/>
  </conditionalFormatting>
  <conditionalFormatting sqref="B52">
    <cfRule type="duplicateValues" dxfId="14" priority="4" stopIfTrue="1"/>
  </conditionalFormatting>
  <conditionalFormatting sqref="B1:B1048576">
    <cfRule type="duplicateValues" dxfId="13" priority="2"/>
    <cfRule type="duplicateValues" dxfId="12" priority="3"/>
  </conditionalFormatting>
  <conditionalFormatting sqref="C48 C42 B2:B65531">
    <cfRule type="duplicateValues" dxfId="11" priority="41" stopIfTrue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96"/>
  <sheetViews>
    <sheetView workbookViewId="0">
      <pane ySplit="2" topLeftCell="A179" activePane="bottomLeft" state="frozenSplit"/>
      <selection pane="bottomLeft" activeCell="D186" sqref="D186"/>
    </sheetView>
  </sheetViews>
  <sheetFormatPr defaultRowHeight="18.75" customHeight="1"/>
  <cols>
    <col min="1" max="1" width="3.625" customWidth="1"/>
    <col min="2" max="2" width="7" style="49" customWidth="1"/>
    <col min="3" max="3" width="16.125" style="49" customWidth="1"/>
    <col min="4" max="4" width="11.875" style="93" customWidth="1"/>
    <col min="5" max="5" width="6.875" style="92" customWidth="1"/>
    <col min="6" max="6" width="6.875" style="94" customWidth="1"/>
    <col min="7" max="7" width="7.375" style="97" customWidth="1"/>
    <col min="8" max="8" width="6.875" style="92" customWidth="1"/>
    <col min="9" max="9" width="9.625" style="92" customWidth="1"/>
    <col min="10" max="10" width="7.125" style="52" customWidth="1"/>
    <col min="11" max="11" width="7.125" customWidth="1"/>
    <col min="12" max="12" width="7.125" style="51" customWidth="1"/>
    <col min="13" max="14" width="7.125" customWidth="1"/>
    <col min="15" max="15" width="7.25" customWidth="1"/>
    <col min="16" max="16" width="6.75" style="53" customWidth="1"/>
    <col min="17" max="17" width="8" style="53" customWidth="1"/>
    <col min="18" max="20" width="6.75" style="49" customWidth="1"/>
    <col min="25" max="25" width="15.125" customWidth="1"/>
    <col min="26" max="26" width="20.875" customWidth="1"/>
  </cols>
  <sheetData>
    <row r="1" spans="1:21" s="1" customFormat="1" ht="39.75" customHeight="1">
      <c r="A1" s="98" t="s">
        <v>464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</row>
    <row r="2" spans="1:21" s="1" customFormat="1" ht="36" customHeight="1">
      <c r="A2" s="2" t="s">
        <v>0</v>
      </c>
      <c r="B2" s="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  <c r="H2" s="4" t="s">
        <v>7</v>
      </c>
      <c r="I2" s="4" t="s">
        <v>8</v>
      </c>
      <c r="J2" s="7" t="s">
        <v>9</v>
      </c>
      <c r="K2" s="8" t="s">
        <v>10</v>
      </c>
      <c r="L2" s="4" t="s">
        <v>11</v>
      </c>
      <c r="M2" s="9" t="s">
        <v>12</v>
      </c>
      <c r="N2" s="9" t="s">
        <v>13</v>
      </c>
      <c r="O2" s="9" t="s">
        <v>14</v>
      </c>
      <c r="P2" s="6" t="s">
        <v>15</v>
      </c>
      <c r="Q2" s="6" t="s">
        <v>16</v>
      </c>
      <c r="R2" s="5" t="s">
        <v>17</v>
      </c>
      <c r="S2" s="4" t="s">
        <v>18</v>
      </c>
      <c r="T2" s="10" t="s">
        <v>19</v>
      </c>
      <c r="U2" s="2" t="s">
        <v>20</v>
      </c>
    </row>
    <row r="3" spans="1:21" s="18" customFormat="1" ht="18.75" customHeight="1">
      <c r="A3" s="11">
        <v>1</v>
      </c>
      <c r="B3" s="11" t="s">
        <v>21</v>
      </c>
      <c r="C3" s="11" t="s">
        <v>22</v>
      </c>
      <c r="D3" s="12"/>
      <c r="E3" s="13"/>
      <c r="F3" s="17"/>
      <c r="G3" s="95">
        <v>10</v>
      </c>
      <c r="H3" s="13"/>
      <c r="I3" s="13" t="s">
        <v>486</v>
      </c>
      <c r="J3" s="15"/>
      <c r="K3" s="16"/>
      <c r="L3" s="17"/>
      <c r="M3" s="16"/>
      <c r="N3" s="16"/>
      <c r="O3" s="16"/>
      <c r="P3" s="14"/>
      <c r="Q3" s="14"/>
      <c r="R3" s="17"/>
      <c r="S3" s="13"/>
      <c r="T3" s="11"/>
      <c r="U3" s="11"/>
    </row>
    <row r="4" spans="1:21" ht="18.75" customHeight="1">
      <c r="A4" s="11">
        <v>2</v>
      </c>
      <c r="B4" s="19" t="s">
        <v>23</v>
      </c>
      <c r="C4" s="20" t="s">
        <v>22</v>
      </c>
      <c r="D4" s="21"/>
      <c r="E4" s="91"/>
      <c r="F4" s="23"/>
      <c r="G4" s="24"/>
      <c r="H4" s="91"/>
      <c r="I4" s="91"/>
      <c r="J4" s="15"/>
      <c r="K4" s="16"/>
      <c r="L4" s="17"/>
      <c r="M4" s="16"/>
      <c r="N4" s="16"/>
      <c r="O4" s="16"/>
      <c r="P4" s="14"/>
      <c r="Q4" s="25">
        <v>16</v>
      </c>
      <c r="R4" s="23"/>
      <c r="S4" s="23"/>
      <c r="T4" s="23"/>
      <c r="U4" s="23"/>
    </row>
    <row r="5" spans="1:21" ht="18.75" customHeight="1">
      <c r="A5" s="11">
        <v>3</v>
      </c>
      <c r="B5" s="19" t="s">
        <v>25</v>
      </c>
      <c r="C5" s="20" t="s">
        <v>22</v>
      </c>
      <c r="D5" s="21"/>
      <c r="E5" s="91"/>
      <c r="F5" s="39">
        <v>80</v>
      </c>
      <c r="G5" s="96"/>
      <c r="H5" s="91"/>
      <c r="I5" s="91"/>
      <c r="J5" s="15"/>
      <c r="K5" s="16"/>
      <c r="L5" s="17"/>
      <c r="M5" s="16"/>
      <c r="N5" s="16"/>
      <c r="O5" s="16"/>
      <c r="P5" s="14"/>
      <c r="Q5" s="25">
        <v>16</v>
      </c>
      <c r="R5" s="23"/>
      <c r="S5" s="25"/>
      <c r="T5" s="23"/>
      <c r="U5" s="23"/>
    </row>
    <row r="6" spans="1:21" ht="18.75" customHeight="1">
      <c r="A6" s="11">
        <v>4</v>
      </c>
      <c r="B6" s="19" t="s">
        <v>26</v>
      </c>
      <c r="C6" s="20" t="s">
        <v>22</v>
      </c>
      <c r="D6" s="21"/>
      <c r="E6" s="91"/>
      <c r="F6" s="39"/>
      <c r="G6" s="96"/>
      <c r="H6" s="91"/>
      <c r="I6" s="91"/>
      <c r="J6" s="15"/>
      <c r="K6" s="16"/>
      <c r="L6" s="17"/>
      <c r="M6" s="16"/>
      <c r="N6" s="16"/>
      <c r="O6" s="16"/>
      <c r="P6" s="14"/>
      <c r="Q6" s="25"/>
      <c r="R6" s="23"/>
      <c r="S6" s="23"/>
      <c r="T6" s="23"/>
      <c r="U6" s="23"/>
    </row>
    <row r="7" spans="1:21" s="1" customFormat="1" ht="18.75" customHeight="1">
      <c r="A7" s="11">
        <v>5</v>
      </c>
      <c r="B7" s="26" t="s">
        <v>27</v>
      </c>
      <c r="C7" s="26" t="s">
        <v>28</v>
      </c>
      <c r="D7" s="27"/>
      <c r="E7" s="28"/>
      <c r="F7" s="23"/>
      <c r="G7" s="24"/>
      <c r="H7" s="29"/>
      <c r="I7" s="29"/>
      <c r="J7" s="30"/>
      <c r="K7" s="16"/>
      <c r="L7" s="17"/>
      <c r="M7" s="16"/>
      <c r="N7" s="16"/>
      <c r="O7" s="16"/>
      <c r="P7" s="25"/>
      <c r="Q7" s="31"/>
      <c r="R7" s="23"/>
      <c r="S7" s="28"/>
      <c r="T7" s="32"/>
      <c r="U7" s="32"/>
    </row>
    <row r="8" spans="1:21" s="1" customFormat="1" ht="18.75" customHeight="1">
      <c r="A8" s="11">
        <v>6</v>
      </c>
      <c r="B8" s="26" t="s">
        <v>29</v>
      </c>
      <c r="C8" s="26" t="s">
        <v>28</v>
      </c>
      <c r="D8" s="27"/>
      <c r="E8" s="28"/>
      <c r="F8" s="23"/>
      <c r="G8" s="24"/>
      <c r="H8" s="29"/>
      <c r="I8" s="29"/>
      <c r="J8" s="30">
        <v>3</v>
      </c>
      <c r="K8" s="16">
        <f t="shared" ref="K8" si="0">J8*8</f>
        <v>24</v>
      </c>
      <c r="L8" s="17">
        <v>2</v>
      </c>
      <c r="M8" s="16">
        <f t="shared" ref="M8" si="1">L8*12</f>
        <v>24</v>
      </c>
      <c r="N8" s="16">
        <f t="shared" ref="N8" si="2">L8*4</f>
        <v>8</v>
      </c>
      <c r="O8" s="16">
        <f t="shared" ref="O8" si="3">N8+M8+K8</f>
        <v>56</v>
      </c>
      <c r="P8" s="25"/>
      <c r="Q8" s="25"/>
      <c r="R8" s="23"/>
      <c r="S8" s="28"/>
      <c r="T8" s="32"/>
      <c r="U8" s="32"/>
    </row>
    <row r="9" spans="1:21" s="1" customFormat="1" ht="18.75" customHeight="1">
      <c r="A9" s="11">
        <v>7</v>
      </c>
      <c r="B9" s="26" t="s">
        <v>30</v>
      </c>
      <c r="C9" s="26" t="s">
        <v>28</v>
      </c>
      <c r="D9" s="27"/>
      <c r="E9" s="28"/>
      <c r="F9" s="23"/>
      <c r="G9" s="24"/>
      <c r="H9" s="29"/>
      <c r="I9" s="29"/>
      <c r="J9" s="30">
        <v>4</v>
      </c>
      <c r="K9" s="16">
        <f t="shared" ref="K9:K73" si="4">J9*8</f>
        <v>32</v>
      </c>
      <c r="L9" s="17"/>
      <c r="M9" s="16"/>
      <c r="N9" s="16"/>
      <c r="O9" s="16">
        <f t="shared" ref="O9:O73" si="5">N9+M9+K9</f>
        <v>32</v>
      </c>
      <c r="P9" s="33"/>
      <c r="Q9" s="33"/>
      <c r="R9" s="34"/>
      <c r="S9" s="32"/>
      <c r="T9" s="32"/>
      <c r="U9" s="35"/>
    </row>
    <row r="10" spans="1:21" s="1" customFormat="1" ht="18.75" customHeight="1">
      <c r="A10" s="11">
        <v>8</v>
      </c>
      <c r="B10" s="26" t="s">
        <v>31</v>
      </c>
      <c r="C10" s="26" t="s">
        <v>28</v>
      </c>
      <c r="D10" s="27"/>
      <c r="E10" s="28"/>
      <c r="F10" s="23"/>
      <c r="G10" s="24"/>
      <c r="H10" s="29"/>
      <c r="I10" s="29"/>
      <c r="J10" s="30">
        <v>6</v>
      </c>
      <c r="K10" s="16">
        <f t="shared" si="4"/>
        <v>48</v>
      </c>
      <c r="L10" s="17">
        <v>5</v>
      </c>
      <c r="M10" s="16">
        <f t="shared" ref="M10:M71" si="6">L10*12</f>
        <v>60</v>
      </c>
      <c r="N10" s="16">
        <f t="shared" ref="N10:N71" si="7">L10*4</f>
        <v>20</v>
      </c>
      <c r="O10" s="16">
        <f t="shared" si="5"/>
        <v>128</v>
      </c>
      <c r="P10" s="25"/>
      <c r="Q10" s="25"/>
      <c r="R10" s="23"/>
      <c r="S10" s="28"/>
      <c r="T10" s="32"/>
      <c r="U10" s="32"/>
    </row>
    <row r="11" spans="1:21" s="1" customFormat="1" ht="18.75" customHeight="1">
      <c r="A11" s="11">
        <v>9</v>
      </c>
      <c r="B11" s="26" t="s">
        <v>32</v>
      </c>
      <c r="C11" s="26" t="s">
        <v>28</v>
      </c>
      <c r="D11" s="36"/>
      <c r="E11" s="28"/>
      <c r="F11" s="23"/>
      <c r="G11" s="24"/>
      <c r="H11" s="29"/>
      <c r="I11" s="29"/>
      <c r="J11" s="30"/>
      <c r="K11" s="16"/>
      <c r="L11" s="17"/>
      <c r="M11" s="16"/>
      <c r="N11" s="16"/>
      <c r="O11" s="16"/>
      <c r="P11" s="25"/>
      <c r="Q11" s="25"/>
      <c r="R11" s="23"/>
      <c r="S11" s="28"/>
      <c r="T11" s="32"/>
      <c r="U11" s="32"/>
    </row>
    <row r="12" spans="1:21" s="1" customFormat="1" ht="18.75" customHeight="1">
      <c r="A12" s="11">
        <v>10</v>
      </c>
      <c r="B12" s="26" t="s">
        <v>33</v>
      </c>
      <c r="C12" s="26" t="s">
        <v>28</v>
      </c>
      <c r="D12" s="27"/>
      <c r="E12" s="28"/>
      <c r="F12" s="23"/>
      <c r="G12" s="24"/>
      <c r="H12" s="29"/>
      <c r="I12" s="29"/>
      <c r="J12" s="30">
        <v>2</v>
      </c>
      <c r="K12" s="16">
        <f t="shared" si="4"/>
        <v>16</v>
      </c>
      <c r="L12" s="17"/>
      <c r="M12" s="16"/>
      <c r="N12" s="16"/>
      <c r="O12" s="16">
        <f t="shared" si="5"/>
        <v>16</v>
      </c>
      <c r="P12" s="25"/>
      <c r="Q12" s="25">
        <v>32</v>
      </c>
      <c r="R12" s="23">
        <v>8</v>
      </c>
      <c r="S12" s="28"/>
      <c r="T12" s="32"/>
      <c r="U12" s="32"/>
    </row>
    <row r="13" spans="1:21" s="1" customFormat="1" ht="18.75" customHeight="1">
      <c r="A13" s="11">
        <v>11</v>
      </c>
      <c r="B13" s="26" t="s">
        <v>34</v>
      </c>
      <c r="C13" s="26" t="s">
        <v>28</v>
      </c>
      <c r="D13" s="27"/>
      <c r="E13" s="28"/>
      <c r="F13" s="23"/>
      <c r="G13" s="24"/>
      <c r="H13" s="29"/>
      <c r="I13" s="29"/>
      <c r="J13" s="30">
        <v>5</v>
      </c>
      <c r="K13" s="16">
        <f t="shared" si="4"/>
        <v>40</v>
      </c>
      <c r="L13" s="17"/>
      <c r="M13" s="16"/>
      <c r="N13" s="16"/>
      <c r="O13" s="16">
        <f t="shared" si="5"/>
        <v>40</v>
      </c>
      <c r="P13" s="25"/>
      <c r="Q13" s="33"/>
      <c r="R13" s="23"/>
      <c r="S13" s="28"/>
      <c r="T13" s="32"/>
      <c r="U13" s="32"/>
    </row>
    <row r="14" spans="1:21" s="1" customFormat="1" ht="18.75" customHeight="1">
      <c r="A14" s="11">
        <v>12</v>
      </c>
      <c r="B14" s="26" t="s">
        <v>35</v>
      </c>
      <c r="C14" s="26" t="s">
        <v>28</v>
      </c>
      <c r="D14" s="27"/>
      <c r="E14" s="28"/>
      <c r="F14" s="23"/>
      <c r="G14" s="24"/>
      <c r="H14" s="29"/>
      <c r="I14" s="29"/>
      <c r="J14" s="30">
        <v>7.5</v>
      </c>
      <c r="K14" s="16">
        <f t="shared" si="4"/>
        <v>60</v>
      </c>
      <c r="L14" s="17">
        <v>8</v>
      </c>
      <c r="M14" s="16">
        <f t="shared" si="6"/>
        <v>96</v>
      </c>
      <c r="N14" s="16">
        <f t="shared" si="7"/>
        <v>32</v>
      </c>
      <c r="O14" s="16">
        <f t="shared" si="5"/>
        <v>188</v>
      </c>
      <c r="P14" s="25"/>
      <c r="Q14" s="25"/>
      <c r="R14" s="23"/>
      <c r="S14" s="28"/>
      <c r="T14" s="32"/>
      <c r="U14" s="32"/>
    </row>
    <row r="15" spans="1:21" s="1" customFormat="1" ht="18.75" customHeight="1">
      <c r="A15" s="11">
        <v>13</v>
      </c>
      <c r="B15" s="26" t="s">
        <v>36</v>
      </c>
      <c r="C15" s="26" t="s">
        <v>28</v>
      </c>
      <c r="D15" s="27"/>
      <c r="E15" s="28"/>
      <c r="F15" s="23"/>
      <c r="G15" s="24">
        <v>8</v>
      </c>
      <c r="H15" s="29"/>
      <c r="I15" s="29"/>
      <c r="J15" s="30">
        <v>4</v>
      </c>
      <c r="K15" s="16">
        <f t="shared" si="4"/>
        <v>32</v>
      </c>
      <c r="L15" s="17">
        <v>4</v>
      </c>
      <c r="M15" s="16">
        <f t="shared" si="6"/>
        <v>48</v>
      </c>
      <c r="N15" s="16">
        <f t="shared" si="7"/>
        <v>16</v>
      </c>
      <c r="O15" s="16">
        <f t="shared" si="5"/>
        <v>96</v>
      </c>
      <c r="P15" s="25"/>
      <c r="Q15" s="25"/>
      <c r="R15" s="23"/>
      <c r="S15" s="28"/>
      <c r="T15" s="32"/>
      <c r="U15" s="32"/>
    </row>
    <row r="16" spans="1:21" s="1" customFormat="1" ht="18.75" customHeight="1">
      <c r="A16" s="11">
        <v>14</v>
      </c>
      <c r="B16" s="32" t="s">
        <v>37</v>
      </c>
      <c r="C16" s="32" t="s">
        <v>28</v>
      </c>
      <c r="D16" s="27"/>
      <c r="E16" s="28"/>
      <c r="F16" s="23"/>
      <c r="G16" s="24">
        <v>72</v>
      </c>
      <c r="H16" s="29"/>
      <c r="I16" s="29"/>
      <c r="J16" s="30">
        <v>1</v>
      </c>
      <c r="K16" s="16">
        <f t="shared" si="4"/>
        <v>8</v>
      </c>
      <c r="L16" s="17"/>
      <c r="M16" s="16"/>
      <c r="N16" s="16"/>
      <c r="O16" s="16">
        <f t="shared" si="5"/>
        <v>8</v>
      </c>
      <c r="P16" s="25"/>
      <c r="Q16" s="25"/>
      <c r="R16" s="23"/>
      <c r="S16" s="28"/>
      <c r="T16" s="32"/>
      <c r="U16" s="32"/>
    </row>
    <row r="17" spans="1:26" s="1" customFormat="1" ht="18.75" customHeight="1">
      <c r="A17" s="11">
        <v>15</v>
      </c>
      <c r="B17" s="32" t="s">
        <v>38</v>
      </c>
      <c r="C17" s="37" t="s">
        <v>28</v>
      </c>
      <c r="D17" s="27"/>
      <c r="E17" s="28"/>
      <c r="F17" s="23"/>
      <c r="G17" s="24">
        <v>64</v>
      </c>
      <c r="H17" s="29"/>
      <c r="I17" s="29"/>
      <c r="J17" s="30"/>
      <c r="K17" s="16"/>
      <c r="L17" s="17"/>
      <c r="M17" s="16"/>
      <c r="N17" s="16"/>
      <c r="O17" s="16"/>
      <c r="P17" s="25"/>
      <c r="Q17" s="25"/>
      <c r="R17" s="23"/>
      <c r="S17" s="28"/>
      <c r="T17" s="32"/>
      <c r="U17" s="32"/>
    </row>
    <row r="18" spans="1:26" s="1" customFormat="1" ht="18.75" customHeight="1">
      <c r="A18" s="11">
        <v>16</v>
      </c>
      <c r="B18" s="32" t="s">
        <v>39</v>
      </c>
      <c r="C18" s="37" t="s">
        <v>28</v>
      </c>
      <c r="D18" s="27" t="s">
        <v>40</v>
      </c>
      <c r="E18" s="23"/>
      <c r="F18" s="23"/>
      <c r="G18" s="24"/>
      <c r="H18" s="29"/>
      <c r="I18" s="29"/>
      <c r="J18" s="30"/>
      <c r="K18" s="16"/>
      <c r="L18" s="17"/>
      <c r="M18" s="16"/>
      <c r="N18" s="16"/>
      <c r="O18" s="16"/>
      <c r="P18" s="25"/>
      <c r="Q18" s="25"/>
      <c r="R18" s="23"/>
      <c r="S18" s="28"/>
      <c r="T18" s="32"/>
      <c r="U18" s="32"/>
    </row>
    <row r="19" spans="1:26" s="1" customFormat="1" ht="18.75" customHeight="1">
      <c r="A19" s="11">
        <v>17</v>
      </c>
      <c r="B19" s="32" t="s">
        <v>41</v>
      </c>
      <c r="C19" s="32" t="s">
        <v>28</v>
      </c>
      <c r="D19" s="27">
        <v>16</v>
      </c>
      <c r="E19" s="28"/>
      <c r="F19" s="23"/>
      <c r="G19" s="24"/>
      <c r="H19" s="29"/>
      <c r="I19" s="29"/>
      <c r="J19" s="30">
        <v>10</v>
      </c>
      <c r="K19" s="16">
        <f t="shared" si="4"/>
        <v>80</v>
      </c>
      <c r="L19" s="17"/>
      <c r="M19" s="16"/>
      <c r="N19" s="16"/>
      <c r="O19" s="16">
        <f t="shared" si="5"/>
        <v>80</v>
      </c>
      <c r="P19" s="25"/>
      <c r="Q19" s="25"/>
      <c r="R19" s="23"/>
      <c r="S19" s="28"/>
      <c r="T19" s="32"/>
      <c r="U19" s="32"/>
    </row>
    <row r="20" spans="1:26" s="1" customFormat="1" ht="18.75" customHeight="1">
      <c r="A20" s="11">
        <v>18</v>
      </c>
      <c r="B20" s="32" t="s">
        <v>42</v>
      </c>
      <c r="C20" s="32" t="s">
        <v>28</v>
      </c>
      <c r="D20" s="27"/>
      <c r="E20" s="28"/>
      <c r="F20" s="23"/>
      <c r="G20" s="24"/>
      <c r="H20" s="29"/>
      <c r="I20" s="29"/>
      <c r="J20" s="30">
        <v>5</v>
      </c>
      <c r="K20" s="16">
        <f t="shared" si="4"/>
        <v>40</v>
      </c>
      <c r="L20" s="17"/>
      <c r="M20" s="16"/>
      <c r="N20" s="16"/>
      <c r="O20" s="16">
        <f t="shared" si="5"/>
        <v>40</v>
      </c>
      <c r="P20" s="25"/>
      <c r="Q20" s="25"/>
      <c r="R20" s="23"/>
      <c r="S20" s="28"/>
      <c r="T20" s="32"/>
      <c r="U20" s="32"/>
    </row>
    <row r="21" spans="1:26" s="1" customFormat="1" ht="18.75" customHeight="1">
      <c r="A21" s="11">
        <v>19</v>
      </c>
      <c r="B21" s="32" t="s">
        <v>43</v>
      </c>
      <c r="C21" s="37" t="s">
        <v>28</v>
      </c>
      <c r="D21" s="27"/>
      <c r="E21" s="28"/>
      <c r="F21" s="23"/>
      <c r="G21" s="24"/>
      <c r="H21" s="29"/>
      <c r="I21" s="29"/>
      <c r="J21" s="30"/>
      <c r="K21" s="16"/>
      <c r="L21" s="17"/>
      <c r="M21" s="16"/>
      <c r="N21" s="16"/>
      <c r="O21" s="16"/>
      <c r="P21" s="25"/>
      <c r="Q21" s="25"/>
      <c r="R21" s="23"/>
      <c r="S21" s="28"/>
      <c r="T21" s="32"/>
      <c r="U21" s="32"/>
    </row>
    <row r="22" spans="1:26" s="1" customFormat="1" ht="18.75" customHeight="1">
      <c r="A22" s="11">
        <v>20</v>
      </c>
      <c r="B22" s="32" t="s">
        <v>44</v>
      </c>
      <c r="C22" s="37" t="s">
        <v>28</v>
      </c>
      <c r="D22" s="27"/>
      <c r="E22" s="28"/>
      <c r="F22" s="23"/>
      <c r="G22" s="24"/>
      <c r="H22" s="29"/>
      <c r="I22" s="29"/>
      <c r="J22" s="30">
        <v>3.5</v>
      </c>
      <c r="K22" s="16">
        <f t="shared" si="4"/>
        <v>28</v>
      </c>
      <c r="L22" s="17">
        <v>7</v>
      </c>
      <c r="M22" s="16">
        <f t="shared" si="6"/>
        <v>84</v>
      </c>
      <c r="N22" s="16">
        <f t="shared" si="7"/>
        <v>28</v>
      </c>
      <c r="O22" s="16">
        <f t="shared" si="5"/>
        <v>140</v>
      </c>
      <c r="P22" s="25"/>
      <c r="Q22" s="25"/>
      <c r="R22" s="23"/>
      <c r="S22" s="28"/>
      <c r="T22" s="32"/>
      <c r="U22" s="32"/>
    </row>
    <row r="23" spans="1:26" s="1" customFormat="1" ht="18.75" customHeight="1">
      <c r="A23" s="11">
        <v>21</v>
      </c>
      <c r="B23" s="32" t="s">
        <v>45</v>
      </c>
      <c r="C23" s="37" t="s">
        <v>28</v>
      </c>
      <c r="D23" s="27"/>
      <c r="E23" s="28"/>
      <c r="F23" s="23"/>
      <c r="G23" s="24">
        <v>8</v>
      </c>
      <c r="H23" s="29"/>
      <c r="I23" s="38"/>
      <c r="J23" s="30">
        <v>1</v>
      </c>
      <c r="K23" s="16">
        <f t="shared" si="4"/>
        <v>8</v>
      </c>
      <c r="L23" s="17">
        <v>6</v>
      </c>
      <c r="M23" s="16">
        <f t="shared" si="6"/>
        <v>72</v>
      </c>
      <c r="N23" s="16">
        <f t="shared" si="7"/>
        <v>24</v>
      </c>
      <c r="O23" s="16">
        <f t="shared" si="5"/>
        <v>104</v>
      </c>
      <c r="P23" s="25"/>
      <c r="Q23" s="25"/>
      <c r="R23" s="23"/>
      <c r="S23" s="28"/>
      <c r="T23" s="32"/>
      <c r="U23" s="32"/>
    </row>
    <row r="24" spans="1:26" s="1" customFormat="1" ht="18.75" customHeight="1">
      <c r="A24" s="11">
        <v>22</v>
      </c>
      <c r="B24" s="32" t="s">
        <v>46</v>
      </c>
      <c r="C24" s="37" t="s">
        <v>28</v>
      </c>
      <c r="D24" s="27"/>
      <c r="E24" s="28"/>
      <c r="F24" s="23"/>
      <c r="G24" s="24"/>
      <c r="H24" s="29"/>
      <c r="I24" s="39"/>
      <c r="J24" s="30">
        <v>10</v>
      </c>
      <c r="K24" s="16">
        <f t="shared" si="4"/>
        <v>80</v>
      </c>
      <c r="L24" s="17">
        <v>5</v>
      </c>
      <c r="M24" s="16">
        <f t="shared" si="6"/>
        <v>60</v>
      </c>
      <c r="N24" s="16">
        <f t="shared" si="7"/>
        <v>20</v>
      </c>
      <c r="O24" s="16">
        <f t="shared" si="5"/>
        <v>160</v>
      </c>
      <c r="P24" s="33"/>
      <c r="Q24" s="33"/>
      <c r="R24" s="34"/>
      <c r="S24" s="32"/>
      <c r="T24" s="32"/>
      <c r="U24" s="32"/>
    </row>
    <row r="25" spans="1:26" s="1" customFormat="1" ht="18.75" customHeight="1">
      <c r="A25" s="11">
        <v>23</v>
      </c>
      <c r="B25" s="32" t="s">
        <v>47</v>
      </c>
      <c r="C25" s="37" t="s">
        <v>28</v>
      </c>
      <c r="D25" s="27" t="s">
        <v>478</v>
      </c>
      <c r="E25" s="28"/>
      <c r="F25" s="23"/>
      <c r="G25" s="24">
        <v>64</v>
      </c>
      <c r="H25" s="29"/>
      <c r="I25" s="38"/>
      <c r="J25" s="30">
        <v>2</v>
      </c>
      <c r="K25" s="16">
        <f t="shared" si="4"/>
        <v>16</v>
      </c>
      <c r="L25" s="17"/>
      <c r="M25" s="16"/>
      <c r="N25" s="16"/>
      <c r="O25" s="16">
        <f t="shared" si="5"/>
        <v>16</v>
      </c>
      <c r="P25" s="25"/>
      <c r="Q25" s="25"/>
      <c r="R25" s="23"/>
      <c r="S25" s="28"/>
      <c r="T25" s="32"/>
      <c r="U25" s="32"/>
    </row>
    <row r="26" spans="1:26" s="1" customFormat="1" ht="18.75" customHeight="1">
      <c r="A26" s="11">
        <v>24</v>
      </c>
      <c r="B26" s="32" t="s">
        <v>48</v>
      </c>
      <c r="C26" s="34" t="s">
        <v>28</v>
      </c>
      <c r="D26" s="27"/>
      <c r="E26" s="28"/>
      <c r="F26" s="23"/>
      <c r="G26" s="24">
        <v>8</v>
      </c>
      <c r="H26" s="29"/>
      <c r="I26" s="39"/>
      <c r="J26" s="30">
        <v>7</v>
      </c>
      <c r="K26" s="16">
        <f t="shared" si="4"/>
        <v>56</v>
      </c>
      <c r="L26" s="17">
        <v>4</v>
      </c>
      <c r="M26" s="16">
        <f t="shared" si="6"/>
        <v>48</v>
      </c>
      <c r="N26" s="16">
        <f t="shared" si="7"/>
        <v>16</v>
      </c>
      <c r="O26" s="16">
        <f t="shared" si="5"/>
        <v>120</v>
      </c>
      <c r="P26" s="25"/>
      <c r="Q26" s="25"/>
      <c r="R26" s="23"/>
      <c r="S26" s="28"/>
      <c r="T26" s="32"/>
      <c r="U26" s="32"/>
    </row>
    <row r="27" spans="1:26" s="1" customFormat="1" ht="18.75" customHeight="1">
      <c r="A27" s="11">
        <v>25</v>
      </c>
      <c r="B27" s="32" t="s">
        <v>49</v>
      </c>
      <c r="C27" s="37" t="s">
        <v>28</v>
      </c>
      <c r="E27" s="80"/>
      <c r="F27" s="88"/>
      <c r="G27" s="30"/>
      <c r="H27" s="80"/>
      <c r="I27" s="80"/>
      <c r="J27" s="30"/>
      <c r="K27" s="16"/>
      <c r="L27" s="17"/>
      <c r="M27" s="16"/>
      <c r="N27" s="16"/>
      <c r="O27" s="16"/>
      <c r="P27" s="25"/>
      <c r="Q27" s="25"/>
      <c r="R27" s="23"/>
      <c r="S27" s="28"/>
      <c r="T27" s="32"/>
      <c r="U27" s="32"/>
    </row>
    <row r="28" spans="1:26" s="1" customFormat="1" ht="18.75" customHeight="1">
      <c r="A28" s="11">
        <v>26</v>
      </c>
      <c r="B28" s="32" t="s">
        <v>51</v>
      </c>
      <c r="C28" s="34" t="s">
        <v>28</v>
      </c>
      <c r="D28" s="80" t="s">
        <v>40</v>
      </c>
      <c r="E28" s="80"/>
      <c r="F28" s="88"/>
      <c r="G28" s="30"/>
      <c r="H28" s="80"/>
      <c r="I28" s="80"/>
      <c r="J28" s="30"/>
      <c r="K28" s="16"/>
      <c r="L28" s="17"/>
      <c r="M28" s="16"/>
      <c r="N28" s="16"/>
      <c r="O28" s="16"/>
      <c r="P28" s="25"/>
      <c r="Q28" s="25"/>
      <c r="R28" s="23"/>
      <c r="S28" s="28"/>
      <c r="T28" s="34"/>
      <c r="U28" s="34"/>
      <c r="Y28" s="40"/>
      <c r="Z28" s="40"/>
    </row>
    <row r="29" spans="1:26" s="1" customFormat="1" ht="18.75" customHeight="1">
      <c r="A29" s="11">
        <v>27</v>
      </c>
      <c r="B29" s="32" t="s">
        <v>52</v>
      </c>
      <c r="C29" s="34" t="s">
        <v>28</v>
      </c>
      <c r="D29" s="80"/>
      <c r="E29" s="80"/>
      <c r="F29" s="88"/>
      <c r="G29" s="30"/>
      <c r="H29" s="80"/>
      <c r="I29" s="80"/>
      <c r="J29" s="30">
        <v>7</v>
      </c>
      <c r="K29" s="16">
        <f t="shared" si="4"/>
        <v>56</v>
      </c>
      <c r="L29" s="17"/>
      <c r="M29" s="16"/>
      <c r="N29" s="16"/>
      <c r="O29" s="16">
        <f t="shared" si="5"/>
        <v>56</v>
      </c>
      <c r="P29" s="25"/>
      <c r="Q29" s="25"/>
      <c r="R29" s="23"/>
      <c r="S29" s="28"/>
      <c r="T29" s="34"/>
      <c r="U29" s="34"/>
      <c r="Y29" s="40"/>
      <c r="Z29" s="40"/>
    </row>
    <row r="30" spans="1:26" s="1" customFormat="1" ht="18.75" customHeight="1">
      <c r="A30" s="11">
        <v>28</v>
      </c>
      <c r="B30" s="32" t="s">
        <v>53</v>
      </c>
      <c r="C30" s="34" t="s">
        <v>28</v>
      </c>
      <c r="D30" s="80" t="s">
        <v>475</v>
      </c>
      <c r="E30" s="28">
        <v>160</v>
      </c>
      <c r="F30" s="88"/>
      <c r="G30" s="30"/>
      <c r="H30" s="80"/>
      <c r="I30" s="80"/>
      <c r="J30" s="30"/>
      <c r="K30" s="16"/>
      <c r="L30" s="17"/>
      <c r="M30" s="16"/>
      <c r="N30" s="16"/>
      <c r="O30" s="16"/>
      <c r="P30" s="25"/>
      <c r="Q30" s="25"/>
      <c r="R30" s="23"/>
      <c r="S30" s="28"/>
      <c r="T30" s="34"/>
      <c r="U30" s="34"/>
      <c r="Y30" s="40"/>
      <c r="Z30" s="40"/>
    </row>
    <row r="31" spans="1:26" s="1" customFormat="1" ht="18.75" customHeight="1">
      <c r="A31" s="11">
        <v>29</v>
      </c>
      <c r="B31" s="32" t="s">
        <v>54</v>
      </c>
      <c r="C31" s="34" t="s">
        <v>28</v>
      </c>
      <c r="D31" s="80"/>
      <c r="E31" s="80"/>
      <c r="F31" s="88"/>
      <c r="G31" s="30">
        <v>8</v>
      </c>
      <c r="H31" s="80"/>
      <c r="I31" s="80"/>
      <c r="J31" s="30">
        <v>11</v>
      </c>
      <c r="K31" s="16">
        <f t="shared" si="4"/>
        <v>88</v>
      </c>
      <c r="L31" s="17">
        <v>5</v>
      </c>
      <c r="M31" s="16">
        <f t="shared" si="6"/>
        <v>60</v>
      </c>
      <c r="N31" s="16">
        <f t="shared" si="7"/>
        <v>20</v>
      </c>
      <c r="O31" s="16">
        <f t="shared" si="5"/>
        <v>168</v>
      </c>
      <c r="P31" s="25"/>
      <c r="Q31" s="25"/>
      <c r="R31" s="23"/>
      <c r="S31" s="23"/>
      <c r="T31" s="34"/>
      <c r="U31" s="34"/>
      <c r="Y31" s="40"/>
      <c r="Z31" s="40"/>
    </row>
    <row r="32" spans="1:26" s="1" customFormat="1" ht="18.75" customHeight="1">
      <c r="A32" s="11">
        <v>30</v>
      </c>
      <c r="B32" s="32" t="s">
        <v>55</v>
      </c>
      <c r="C32" s="34" t="s">
        <v>28</v>
      </c>
      <c r="D32" s="80"/>
      <c r="E32" s="80"/>
      <c r="F32" s="88"/>
      <c r="G32" s="30"/>
      <c r="H32" s="80"/>
      <c r="I32" s="80"/>
      <c r="J32" s="30"/>
      <c r="K32" s="16"/>
      <c r="L32" s="17"/>
      <c r="M32" s="16"/>
      <c r="N32" s="16"/>
      <c r="O32" s="16"/>
      <c r="P32" s="25"/>
      <c r="Q32" s="25"/>
      <c r="R32" s="23"/>
      <c r="S32" s="28"/>
      <c r="T32" s="34"/>
      <c r="U32" s="34"/>
    </row>
    <row r="33" spans="1:21" s="1" customFormat="1" ht="18.75" customHeight="1">
      <c r="A33" s="11">
        <v>31</v>
      </c>
      <c r="B33" s="32" t="s">
        <v>474</v>
      </c>
      <c r="C33" s="34" t="s">
        <v>28</v>
      </c>
      <c r="D33" s="80" t="s">
        <v>460</v>
      </c>
      <c r="E33" s="80"/>
      <c r="F33" s="88"/>
      <c r="G33" s="30"/>
      <c r="H33" s="80"/>
      <c r="I33" s="80"/>
      <c r="J33" s="30"/>
      <c r="K33" s="16"/>
      <c r="L33" s="17"/>
      <c r="M33" s="16"/>
      <c r="N33" s="16"/>
      <c r="O33" s="16"/>
      <c r="P33" s="25"/>
      <c r="Q33" s="25"/>
      <c r="R33" s="23"/>
      <c r="S33" s="28"/>
      <c r="T33" s="34"/>
      <c r="U33" s="34"/>
    </row>
    <row r="34" spans="1:21" s="1" customFormat="1" ht="18.75" customHeight="1">
      <c r="A34" s="11">
        <v>32</v>
      </c>
      <c r="B34" s="32" t="s">
        <v>57</v>
      </c>
      <c r="C34" s="34" t="s">
        <v>28</v>
      </c>
      <c r="D34" s="36"/>
      <c r="E34" s="28"/>
      <c r="F34" s="23"/>
      <c r="G34" s="30"/>
      <c r="H34" s="39"/>
      <c r="I34" s="39"/>
      <c r="J34" s="30">
        <v>2</v>
      </c>
      <c r="K34" s="16">
        <f t="shared" si="4"/>
        <v>16</v>
      </c>
      <c r="L34" s="17"/>
      <c r="M34" s="16"/>
      <c r="N34" s="16"/>
      <c r="O34" s="16">
        <f t="shared" si="5"/>
        <v>16</v>
      </c>
      <c r="P34" s="25"/>
      <c r="Q34" s="25">
        <v>28</v>
      </c>
      <c r="R34" s="23"/>
      <c r="S34" s="28">
        <v>10</v>
      </c>
      <c r="T34" s="34"/>
      <c r="U34" s="34"/>
    </row>
    <row r="35" spans="1:21" s="1" customFormat="1" ht="18.75" customHeight="1">
      <c r="A35" s="11">
        <v>33</v>
      </c>
      <c r="B35" s="32" t="s">
        <v>58</v>
      </c>
      <c r="C35" s="34" t="s">
        <v>28</v>
      </c>
      <c r="D35" s="36"/>
      <c r="E35" s="28"/>
      <c r="F35" s="23"/>
      <c r="G35" s="30"/>
      <c r="H35" s="39"/>
      <c r="I35" s="39"/>
      <c r="J35" s="30">
        <v>17</v>
      </c>
      <c r="K35" s="16">
        <f t="shared" si="4"/>
        <v>136</v>
      </c>
      <c r="L35" s="17"/>
      <c r="M35" s="16"/>
      <c r="N35" s="16"/>
      <c r="O35" s="16">
        <f t="shared" si="5"/>
        <v>136</v>
      </c>
      <c r="P35" s="25"/>
      <c r="Q35" s="25"/>
      <c r="R35" s="23"/>
      <c r="S35" s="28"/>
      <c r="T35" s="34"/>
      <c r="U35" s="34"/>
    </row>
    <row r="36" spans="1:21" s="1" customFormat="1" ht="18.75" customHeight="1">
      <c r="A36" s="11">
        <v>34</v>
      </c>
      <c r="B36" s="41" t="s">
        <v>59</v>
      </c>
      <c r="C36" s="34" t="s">
        <v>28</v>
      </c>
      <c r="D36" s="36" t="s">
        <v>40</v>
      </c>
      <c r="E36" s="28"/>
      <c r="F36" s="23"/>
      <c r="G36" s="24"/>
      <c r="H36" s="39"/>
      <c r="I36" s="39"/>
      <c r="J36" s="30"/>
      <c r="K36" s="16"/>
      <c r="L36" s="17"/>
      <c r="M36" s="16"/>
      <c r="N36" s="16"/>
      <c r="O36" s="16"/>
      <c r="P36" s="25"/>
      <c r="Q36" s="33"/>
      <c r="R36" s="23"/>
      <c r="S36" s="28"/>
      <c r="T36" s="34"/>
      <c r="U36" s="34"/>
    </row>
    <row r="37" spans="1:21" s="1" customFormat="1" ht="18.75" customHeight="1">
      <c r="A37" s="11">
        <v>35</v>
      </c>
      <c r="B37" s="41" t="s">
        <v>60</v>
      </c>
      <c r="C37" s="34" t="s">
        <v>28</v>
      </c>
      <c r="D37" s="36"/>
      <c r="E37" s="28"/>
      <c r="F37" s="23"/>
      <c r="G37" s="24"/>
      <c r="H37" s="39"/>
      <c r="I37" s="39"/>
      <c r="J37" s="30"/>
      <c r="K37" s="16"/>
      <c r="L37" s="17"/>
      <c r="M37" s="16"/>
      <c r="N37" s="16"/>
      <c r="O37" s="16"/>
      <c r="P37" s="25"/>
      <c r="Q37" s="33"/>
      <c r="R37" s="23"/>
      <c r="S37" s="28"/>
      <c r="T37" s="34"/>
      <c r="U37" s="34"/>
    </row>
    <row r="38" spans="1:21" ht="18.75" customHeight="1">
      <c r="A38" s="11">
        <v>36</v>
      </c>
      <c r="B38" s="41" t="s">
        <v>61</v>
      </c>
      <c r="C38" s="34" t="s">
        <v>28</v>
      </c>
      <c r="D38" s="36"/>
      <c r="E38" s="28"/>
      <c r="F38" s="23"/>
      <c r="G38" s="24"/>
      <c r="H38" s="39"/>
      <c r="I38" s="39"/>
      <c r="J38" s="30"/>
      <c r="K38" s="16"/>
      <c r="L38" s="17"/>
      <c r="M38" s="16"/>
      <c r="N38" s="16"/>
      <c r="O38" s="16"/>
      <c r="P38" s="25"/>
      <c r="Q38" s="33"/>
      <c r="R38" s="23"/>
      <c r="S38" s="28"/>
      <c r="T38" s="34"/>
      <c r="U38" s="34"/>
    </row>
    <row r="39" spans="1:21" s="1" customFormat="1" ht="18.75" customHeight="1">
      <c r="A39" s="11">
        <v>37</v>
      </c>
      <c r="B39" s="41" t="s">
        <v>62</v>
      </c>
      <c r="C39" s="34" t="s">
        <v>28</v>
      </c>
      <c r="D39" s="36"/>
      <c r="E39" s="28"/>
      <c r="F39" s="39"/>
      <c r="G39" s="31">
        <v>64</v>
      </c>
      <c r="H39" s="39"/>
      <c r="I39" s="39"/>
      <c r="J39" s="30">
        <v>7</v>
      </c>
      <c r="K39" s="16">
        <f t="shared" si="4"/>
        <v>56</v>
      </c>
      <c r="L39" s="17"/>
      <c r="M39" s="16"/>
      <c r="N39" s="16"/>
      <c r="O39" s="16">
        <f t="shared" si="5"/>
        <v>56</v>
      </c>
      <c r="P39" s="25"/>
      <c r="Q39" s="33"/>
      <c r="R39" s="23"/>
      <c r="S39" s="28"/>
      <c r="T39" s="34"/>
      <c r="U39" s="34"/>
    </row>
    <row r="40" spans="1:21" s="1" customFormat="1" ht="18.75" customHeight="1">
      <c r="A40" s="11">
        <v>38</v>
      </c>
      <c r="B40" s="41" t="s">
        <v>63</v>
      </c>
      <c r="C40" s="34" t="s">
        <v>28</v>
      </c>
      <c r="D40" s="36"/>
      <c r="E40" s="28"/>
      <c r="F40" s="23"/>
      <c r="G40" s="24">
        <v>8</v>
      </c>
      <c r="H40" s="39"/>
      <c r="I40" s="39" t="s">
        <v>491</v>
      </c>
      <c r="J40" s="30">
        <v>10</v>
      </c>
      <c r="K40" s="16">
        <f t="shared" si="4"/>
        <v>80</v>
      </c>
      <c r="L40" s="17"/>
      <c r="M40" s="16"/>
      <c r="N40" s="16"/>
      <c r="O40" s="16">
        <f t="shared" si="5"/>
        <v>80</v>
      </c>
      <c r="P40" s="25"/>
      <c r="Q40" s="33"/>
      <c r="R40" s="23"/>
      <c r="S40" s="28"/>
      <c r="T40" s="34"/>
      <c r="U40" s="34"/>
    </row>
    <row r="41" spans="1:21" s="1" customFormat="1" ht="18.75" customHeight="1">
      <c r="A41" s="11">
        <v>39</v>
      </c>
      <c r="B41" s="41" t="s">
        <v>64</v>
      </c>
      <c r="C41" s="34" t="s">
        <v>28</v>
      </c>
      <c r="D41" s="36"/>
      <c r="E41" s="28"/>
      <c r="G41" s="24"/>
      <c r="H41" s="39"/>
      <c r="I41" s="39"/>
      <c r="J41" s="30">
        <v>9.5</v>
      </c>
      <c r="K41" s="16">
        <f t="shared" si="4"/>
        <v>76</v>
      </c>
      <c r="L41" s="17">
        <v>6</v>
      </c>
      <c r="M41" s="16">
        <f t="shared" si="6"/>
        <v>72</v>
      </c>
      <c r="N41" s="16">
        <f t="shared" si="7"/>
        <v>24</v>
      </c>
      <c r="O41" s="16">
        <f t="shared" si="5"/>
        <v>172</v>
      </c>
      <c r="P41" s="25">
        <v>24</v>
      </c>
      <c r="Q41" s="33">
        <v>6</v>
      </c>
      <c r="R41" s="23"/>
      <c r="S41" s="28"/>
      <c r="T41" s="34"/>
      <c r="U41" s="34"/>
    </row>
    <row r="42" spans="1:21" s="1" customFormat="1" ht="18.75" customHeight="1">
      <c r="A42" s="11">
        <v>40</v>
      </c>
      <c r="B42" s="41" t="s">
        <v>65</v>
      </c>
      <c r="C42" s="34" t="s">
        <v>28</v>
      </c>
      <c r="D42" s="36"/>
      <c r="E42" s="28"/>
      <c r="F42" s="23"/>
      <c r="G42" s="24"/>
      <c r="H42" s="39"/>
      <c r="I42" s="39"/>
      <c r="J42" s="30">
        <v>5</v>
      </c>
      <c r="K42" s="16">
        <f t="shared" si="4"/>
        <v>40</v>
      </c>
      <c r="L42" s="17">
        <v>5</v>
      </c>
      <c r="M42" s="16">
        <f t="shared" si="6"/>
        <v>60</v>
      </c>
      <c r="N42" s="16">
        <f t="shared" si="7"/>
        <v>20</v>
      </c>
      <c r="O42" s="16">
        <f t="shared" si="5"/>
        <v>120</v>
      </c>
      <c r="P42" s="25"/>
      <c r="Q42" s="33"/>
      <c r="R42" s="23"/>
      <c r="S42" s="28"/>
      <c r="T42" s="34"/>
      <c r="U42" s="34"/>
    </row>
    <row r="43" spans="1:21" s="1" customFormat="1" ht="18.75" customHeight="1">
      <c r="A43" s="11">
        <v>41</v>
      </c>
      <c r="B43" s="42" t="s">
        <v>66</v>
      </c>
      <c r="C43" s="34" t="s">
        <v>28</v>
      </c>
      <c r="D43" s="12"/>
      <c r="E43" s="28"/>
      <c r="F43" s="23"/>
      <c r="G43" s="24">
        <v>8</v>
      </c>
      <c r="H43" s="39"/>
      <c r="I43" s="39"/>
      <c r="J43" s="30"/>
      <c r="K43" s="16"/>
      <c r="L43" s="17"/>
      <c r="M43" s="16"/>
      <c r="N43" s="16"/>
      <c r="O43" s="16"/>
      <c r="P43" s="25"/>
      <c r="Q43" s="33"/>
      <c r="R43" s="23"/>
      <c r="S43" s="28"/>
      <c r="T43" s="34"/>
      <c r="U43" s="34"/>
    </row>
    <row r="44" spans="1:21" s="1" customFormat="1" ht="18.75" customHeight="1">
      <c r="A44" s="11">
        <v>42</v>
      </c>
      <c r="B44" s="42" t="s">
        <v>67</v>
      </c>
      <c r="C44" s="34" t="s">
        <v>28</v>
      </c>
      <c r="D44" s="12"/>
      <c r="E44" s="28"/>
      <c r="F44" s="23"/>
      <c r="G44" s="24"/>
      <c r="H44" s="39"/>
      <c r="I44" s="39"/>
      <c r="J44" s="30">
        <v>6</v>
      </c>
      <c r="K44" s="16">
        <f t="shared" si="4"/>
        <v>48</v>
      </c>
      <c r="L44" s="17">
        <v>4</v>
      </c>
      <c r="M44" s="16">
        <f t="shared" si="6"/>
        <v>48</v>
      </c>
      <c r="N44" s="16">
        <f t="shared" si="7"/>
        <v>16</v>
      </c>
      <c r="O44" s="16">
        <f t="shared" si="5"/>
        <v>112</v>
      </c>
      <c r="P44" s="25"/>
      <c r="Q44" s="33"/>
      <c r="R44" s="23"/>
      <c r="S44" s="28"/>
      <c r="T44" s="34"/>
      <c r="U44" s="34"/>
    </row>
    <row r="45" spans="1:21" s="1" customFormat="1" ht="18.75" customHeight="1">
      <c r="A45" s="11">
        <v>43</v>
      </c>
      <c r="B45" s="42" t="s">
        <v>68</v>
      </c>
      <c r="C45" s="34" t="s">
        <v>28</v>
      </c>
      <c r="D45" s="21"/>
      <c r="E45" s="28"/>
      <c r="F45" s="23">
        <v>40</v>
      </c>
      <c r="G45" s="24"/>
      <c r="H45" s="39"/>
      <c r="I45" s="39"/>
      <c r="J45" s="30">
        <v>5</v>
      </c>
      <c r="K45" s="16">
        <f t="shared" si="4"/>
        <v>40</v>
      </c>
      <c r="L45" s="17">
        <v>5</v>
      </c>
      <c r="M45" s="16">
        <f t="shared" si="6"/>
        <v>60</v>
      </c>
      <c r="N45" s="16">
        <f t="shared" si="7"/>
        <v>20</v>
      </c>
      <c r="O45" s="16">
        <f t="shared" si="5"/>
        <v>120</v>
      </c>
      <c r="P45" s="25"/>
      <c r="Q45" s="33"/>
      <c r="R45" s="23"/>
      <c r="S45" s="28"/>
      <c r="T45" s="34"/>
      <c r="U45" s="34"/>
    </row>
    <row r="46" spans="1:21" s="1" customFormat="1" ht="18.75" customHeight="1">
      <c r="A46" s="11">
        <v>44</v>
      </c>
      <c r="B46" s="42" t="s">
        <v>69</v>
      </c>
      <c r="C46" s="34" t="s">
        <v>28</v>
      </c>
      <c r="D46" s="21"/>
      <c r="E46" s="28"/>
      <c r="F46" s="23"/>
      <c r="G46" s="24">
        <v>64</v>
      </c>
      <c r="H46" s="39"/>
      <c r="I46" s="39"/>
      <c r="J46" s="30">
        <v>4</v>
      </c>
      <c r="K46" s="16">
        <f t="shared" si="4"/>
        <v>32</v>
      </c>
      <c r="L46" s="17">
        <v>5</v>
      </c>
      <c r="M46" s="16">
        <f t="shared" si="6"/>
        <v>60</v>
      </c>
      <c r="N46" s="16">
        <f t="shared" si="7"/>
        <v>20</v>
      </c>
      <c r="O46" s="16">
        <f t="shared" si="5"/>
        <v>112</v>
      </c>
      <c r="P46" s="25"/>
      <c r="Q46" s="33"/>
      <c r="R46" s="23"/>
      <c r="S46" s="28"/>
      <c r="T46" s="34"/>
      <c r="U46" s="34"/>
    </row>
    <row r="47" spans="1:21" s="1" customFormat="1" ht="18.75" customHeight="1">
      <c r="A47" s="11">
        <v>45</v>
      </c>
      <c r="B47" s="42" t="s">
        <v>70</v>
      </c>
      <c r="C47" s="34" t="s">
        <v>28</v>
      </c>
      <c r="D47" s="21"/>
      <c r="E47" s="28"/>
      <c r="F47" s="23"/>
      <c r="G47" s="24"/>
      <c r="H47" s="39"/>
      <c r="I47" s="39"/>
      <c r="J47" s="30">
        <v>9</v>
      </c>
      <c r="K47" s="16">
        <f t="shared" si="4"/>
        <v>72</v>
      </c>
      <c r="L47" s="17"/>
      <c r="M47" s="16"/>
      <c r="N47" s="16"/>
      <c r="O47" s="16">
        <f t="shared" si="5"/>
        <v>72</v>
      </c>
      <c r="P47" s="25"/>
      <c r="Q47" s="33">
        <v>36</v>
      </c>
      <c r="R47" s="23">
        <v>4</v>
      </c>
      <c r="S47" s="28"/>
      <c r="T47" s="34"/>
      <c r="U47" s="34"/>
    </row>
    <row r="48" spans="1:21" s="1" customFormat="1" ht="18.75" customHeight="1">
      <c r="A48" s="11">
        <v>46</v>
      </c>
      <c r="B48" s="42" t="s">
        <v>71</v>
      </c>
      <c r="C48" s="34" t="s">
        <v>28</v>
      </c>
      <c r="D48" s="43"/>
      <c r="E48" s="28"/>
      <c r="F48" s="23"/>
      <c r="G48" s="24"/>
      <c r="H48" s="39"/>
      <c r="I48" s="39"/>
      <c r="J48" s="30">
        <v>13.5</v>
      </c>
      <c r="K48" s="16">
        <f t="shared" si="4"/>
        <v>108</v>
      </c>
      <c r="L48" s="17">
        <v>1</v>
      </c>
      <c r="M48" s="16">
        <f t="shared" si="6"/>
        <v>12</v>
      </c>
      <c r="N48" s="16">
        <f t="shared" si="7"/>
        <v>4</v>
      </c>
      <c r="O48" s="16">
        <f t="shared" si="5"/>
        <v>124</v>
      </c>
      <c r="P48" s="25"/>
      <c r="Q48" s="33"/>
      <c r="R48" s="23"/>
      <c r="S48" s="28"/>
      <c r="T48" s="34"/>
      <c r="U48" s="34"/>
    </row>
    <row r="49" spans="1:21" s="1" customFormat="1" ht="18.75" customHeight="1">
      <c r="A49" s="11">
        <v>47</v>
      </c>
      <c r="B49" s="42" t="s">
        <v>73</v>
      </c>
      <c r="C49" s="34" t="s">
        <v>28</v>
      </c>
      <c r="D49" s="44"/>
      <c r="E49" s="28"/>
      <c r="F49" s="23"/>
      <c r="G49" s="24"/>
      <c r="H49" s="39"/>
      <c r="I49" s="39"/>
      <c r="J49" s="30">
        <v>9</v>
      </c>
      <c r="K49" s="16">
        <f t="shared" si="4"/>
        <v>72</v>
      </c>
      <c r="L49" s="17">
        <v>5</v>
      </c>
      <c r="M49" s="16">
        <f t="shared" si="6"/>
        <v>60</v>
      </c>
      <c r="N49" s="16">
        <f t="shared" si="7"/>
        <v>20</v>
      </c>
      <c r="O49" s="16">
        <f t="shared" si="5"/>
        <v>152</v>
      </c>
      <c r="P49" s="25"/>
      <c r="Q49" s="33"/>
      <c r="R49" s="23"/>
      <c r="S49" s="28"/>
      <c r="T49" s="34"/>
      <c r="U49" s="34"/>
    </row>
    <row r="50" spans="1:21" s="1" customFormat="1" ht="18.75" customHeight="1">
      <c r="A50" s="11">
        <v>48</v>
      </c>
      <c r="B50" s="42" t="s">
        <v>74</v>
      </c>
      <c r="C50" s="34" t="s">
        <v>28</v>
      </c>
      <c r="D50" s="44"/>
      <c r="E50" s="28"/>
      <c r="F50" s="23"/>
      <c r="G50" s="24"/>
      <c r="H50" s="39"/>
      <c r="I50" s="39"/>
      <c r="J50" s="30">
        <v>11</v>
      </c>
      <c r="K50" s="16">
        <f t="shared" si="4"/>
        <v>88</v>
      </c>
      <c r="L50" s="17"/>
      <c r="M50" s="16"/>
      <c r="N50" s="16"/>
      <c r="O50" s="16">
        <f t="shared" si="5"/>
        <v>88</v>
      </c>
      <c r="P50" s="25"/>
      <c r="Q50" s="33"/>
      <c r="R50" s="23"/>
      <c r="S50" s="28"/>
      <c r="T50" s="34"/>
      <c r="U50" s="34"/>
    </row>
    <row r="51" spans="1:21" s="1" customFormat="1" ht="18.75" customHeight="1">
      <c r="A51" s="11">
        <v>49</v>
      </c>
      <c r="B51" s="42" t="s">
        <v>75</v>
      </c>
      <c r="C51" s="34" t="s">
        <v>28</v>
      </c>
      <c r="D51" s="44"/>
      <c r="E51" s="28"/>
      <c r="F51" s="39">
        <v>80</v>
      </c>
      <c r="G51" s="31"/>
      <c r="H51" s="39"/>
      <c r="I51" s="39"/>
      <c r="J51" s="30"/>
      <c r="K51" s="16"/>
      <c r="L51" s="17"/>
      <c r="M51" s="16"/>
      <c r="N51" s="16"/>
      <c r="O51" s="16"/>
      <c r="P51" s="25"/>
      <c r="Q51" s="33"/>
      <c r="R51" s="23"/>
      <c r="S51" s="28"/>
      <c r="T51" s="34"/>
      <c r="U51" s="34"/>
    </row>
    <row r="52" spans="1:21" s="1" customFormat="1" ht="18.75" customHeight="1">
      <c r="A52" s="11">
        <v>50</v>
      </c>
      <c r="B52" s="42" t="s">
        <v>76</v>
      </c>
      <c r="C52" s="34" t="s">
        <v>28</v>
      </c>
      <c r="D52" s="44"/>
      <c r="E52" s="28"/>
      <c r="F52" s="23"/>
      <c r="G52" s="24"/>
      <c r="H52" s="39"/>
      <c r="I52" s="39"/>
      <c r="J52" s="30">
        <v>5</v>
      </c>
      <c r="K52" s="16">
        <f t="shared" si="4"/>
        <v>40</v>
      </c>
      <c r="L52" s="17">
        <v>5</v>
      </c>
      <c r="M52" s="16">
        <f t="shared" si="6"/>
        <v>60</v>
      </c>
      <c r="N52" s="16">
        <f t="shared" si="7"/>
        <v>20</v>
      </c>
      <c r="O52" s="16">
        <f t="shared" si="5"/>
        <v>120</v>
      </c>
      <c r="P52" s="25"/>
      <c r="Q52" s="33"/>
      <c r="R52" s="23"/>
      <c r="S52" s="28"/>
      <c r="T52" s="34"/>
      <c r="U52" s="34"/>
    </row>
    <row r="53" spans="1:21" s="1" customFormat="1" ht="18.75" customHeight="1">
      <c r="A53" s="11">
        <v>51</v>
      </c>
      <c r="B53" s="42" t="s">
        <v>77</v>
      </c>
      <c r="C53" s="34" t="s">
        <v>28</v>
      </c>
      <c r="D53" s="44"/>
      <c r="E53" s="28"/>
      <c r="F53" s="23"/>
      <c r="G53" s="24"/>
      <c r="H53" s="39"/>
      <c r="I53" s="39"/>
      <c r="J53" s="30"/>
      <c r="K53" s="16"/>
      <c r="L53" s="17"/>
      <c r="M53" s="16"/>
      <c r="N53" s="16"/>
      <c r="O53" s="16"/>
      <c r="P53" s="25"/>
      <c r="Q53" s="33">
        <v>18</v>
      </c>
      <c r="R53" s="23">
        <v>20</v>
      </c>
      <c r="S53" s="28"/>
      <c r="T53" s="34"/>
      <c r="U53" s="34"/>
    </row>
    <row r="54" spans="1:21" s="1" customFormat="1" ht="18.75" customHeight="1">
      <c r="A54" s="11">
        <v>52</v>
      </c>
      <c r="B54" s="42" t="s">
        <v>78</v>
      </c>
      <c r="C54" s="34" t="s">
        <v>28</v>
      </c>
      <c r="D54" s="44" t="s">
        <v>460</v>
      </c>
      <c r="E54" s="28"/>
      <c r="F54" s="23"/>
      <c r="G54" s="24"/>
      <c r="H54" s="39"/>
      <c r="I54" s="39"/>
      <c r="J54" s="30"/>
      <c r="K54" s="16"/>
      <c r="L54" s="17"/>
      <c r="M54" s="16"/>
      <c r="N54" s="16"/>
      <c r="O54" s="16"/>
      <c r="P54" s="25"/>
      <c r="Q54" s="33"/>
      <c r="R54" s="23"/>
      <c r="S54" s="28"/>
      <c r="T54" s="34"/>
      <c r="U54" s="34"/>
    </row>
    <row r="55" spans="1:21" s="1" customFormat="1" ht="18.75" customHeight="1">
      <c r="A55" s="11">
        <v>53</v>
      </c>
      <c r="B55" s="42" t="s">
        <v>79</v>
      </c>
      <c r="C55" s="34" t="s">
        <v>28</v>
      </c>
      <c r="D55" s="44"/>
      <c r="E55" s="28"/>
      <c r="F55" s="23"/>
      <c r="G55" s="24">
        <v>40</v>
      </c>
      <c r="H55" s="39"/>
      <c r="I55" s="39"/>
      <c r="J55" s="30">
        <v>4.5</v>
      </c>
      <c r="K55" s="16">
        <f t="shared" si="4"/>
        <v>36</v>
      </c>
      <c r="L55" s="17">
        <v>9</v>
      </c>
      <c r="M55" s="16">
        <f t="shared" si="6"/>
        <v>108</v>
      </c>
      <c r="N55" s="16">
        <f t="shared" si="7"/>
        <v>36</v>
      </c>
      <c r="O55" s="16">
        <f t="shared" si="5"/>
        <v>180</v>
      </c>
      <c r="P55" s="25"/>
      <c r="Q55" s="33"/>
      <c r="R55" s="23"/>
      <c r="S55" s="28"/>
      <c r="T55" s="34"/>
      <c r="U55" s="34"/>
    </row>
    <row r="56" spans="1:21" s="1" customFormat="1" ht="18.75" customHeight="1">
      <c r="A56" s="11">
        <v>54</v>
      </c>
      <c r="B56" s="42" t="s">
        <v>82</v>
      </c>
      <c r="C56" s="34" t="s">
        <v>28</v>
      </c>
      <c r="D56" s="44"/>
      <c r="E56" s="28"/>
      <c r="F56" s="23"/>
      <c r="G56" s="24">
        <v>33</v>
      </c>
      <c r="H56" s="39"/>
      <c r="I56" s="39"/>
      <c r="J56" s="30">
        <v>3.5</v>
      </c>
      <c r="K56" s="16">
        <f t="shared" si="4"/>
        <v>28</v>
      </c>
      <c r="L56" s="17">
        <v>7</v>
      </c>
      <c r="M56" s="16">
        <f t="shared" si="6"/>
        <v>84</v>
      </c>
      <c r="N56" s="16">
        <f t="shared" si="7"/>
        <v>28</v>
      </c>
      <c r="O56" s="16">
        <f t="shared" si="5"/>
        <v>140</v>
      </c>
      <c r="P56" s="25"/>
      <c r="Q56" s="33"/>
      <c r="R56" s="23"/>
      <c r="S56" s="28"/>
      <c r="T56" s="34"/>
      <c r="U56" s="34"/>
    </row>
    <row r="57" spans="1:21" s="1" customFormat="1" ht="18.75" customHeight="1">
      <c r="A57" s="11">
        <v>55</v>
      </c>
      <c r="B57" s="42" t="s">
        <v>425</v>
      </c>
      <c r="C57" s="34" t="s">
        <v>28</v>
      </c>
      <c r="D57" s="44"/>
      <c r="E57" s="28"/>
      <c r="F57" s="23"/>
      <c r="G57" s="24"/>
      <c r="H57" s="39"/>
      <c r="I57" s="39"/>
      <c r="J57" s="30">
        <v>5.5</v>
      </c>
      <c r="K57" s="16">
        <f t="shared" si="4"/>
        <v>44</v>
      </c>
      <c r="L57" s="17">
        <v>12</v>
      </c>
      <c r="M57" s="16">
        <f t="shared" si="6"/>
        <v>144</v>
      </c>
      <c r="N57" s="16">
        <f t="shared" si="7"/>
        <v>48</v>
      </c>
      <c r="O57" s="16">
        <f t="shared" si="5"/>
        <v>236</v>
      </c>
      <c r="P57" s="25">
        <v>32.5</v>
      </c>
      <c r="Q57" s="33"/>
      <c r="R57" s="23">
        <v>10</v>
      </c>
      <c r="S57" s="28"/>
      <c r="T57" s="34"/>
      <c r="U57" s="34"/>
    </row>
    <row r="58" spans="1:21" ht="18.75" customHeight="1">
      <c r="A58" s="11">
        <v>56</v>
      </c>
      <c r="B58" s="41" t="s">
        <v>83</v>
      </c>
      <c r="C58" s="34" t="s">
        <v>84</v>
      </c>
      <c r="D58" s="44"/>
      <c r="E58" s="28"/>
      <c r="F58" s="23"/>
      <c r="G58" s="24"/>
      <c r="H58" s="39"/>
      <c r="I58" s="39"/>
      <c r="J58" s="30">
        <v>1</v>
      </c>
      <c r="K58" s="16">
        <f t="shared" si="4"/>
        <v>8</v>
      </c>
      <c r="L58" s="17"/>
      <c r="M58" s="16"/>
      <c r="N58" s="16"/>
      <c r="O58" s="16">
        <f t="shared" si="5"/>
        <v>8</v>
      </c>
      <c r="P58" s="25"/>
      <c r="Q58" s="33"/>
      <c r="R58" s="23"/>
      <c r="S58" s="28"/>
      <c r="T58" s="34"/>
      <c r="U58" s="34"/>
    </row>
    <row r="59" spans="1:21" ht="18.75" customHeight="1">
      <c r="A59" s="11">
        <v>57</v>
      </c>
      <c r="B59" s="41" t="s">
        <v>85</v>
      </c>
      <c r="C59" s="34" t="s">
        <v>84</v>
      </c>
      <c r="D59" s="36" t="s">
        <v>471</v>
      </c>
      <c r="E59" s="28"/>
      <c r="F59" s="23"/>
      <c r="G59" s="24"/>
      <c r="H59" s="39"/>
      <c r="I59" s="39"/>
      <c r="J59" s="30"/>
      <c r="K59" s="16"/>
      <c r="L59" s="17"/>
      <c r="M59" s="16"/>
      <c r="N59" s="16"/>
      <c r="O59" s="16"/>
      <c r="P59" s="25"/>
      <c r="Q59" s="33"/>
      <c r="R59" s="23"/>
      <c r="S59" s="28"/>
      <c r="T59" s="34"/>
      <c r="U59" s="34"/>
    </row>
    <row r="60" spans="1:21" ht="18.75" customHeight="1">
      <c r="A60" s="11">
        <v>58</v>
      </c>
      <c r="B60" s="41" t="s">
        <v>86</v>
      </c>
      <c r="C60" s="34" t="s">
        <v>84</v>
      </c>
      <c r="D60" s="36"/>
      <c r="E60" s="28"/>
      <c r="F60" s="23"/>
      <c r="G60" s="24"/>
      <c r="H60" s="39"/>
      <c r="I60" s="39"/>
      <c r="J60" s="30"/>
      <c r="K60" s="16"/>
      <c r="L60" s="17"/>
      <c r="M60" s="16"/>
      <c r="N60" s="16"/>
      <c r="O60" s="16"/>
      <c r="P60" s="25"/>
      <c r="Q60" s="33"/>
      <c r="R60" s="23"/>
      <c r="S60" s="28"/>
      <c r="T60" s="34"/>
      <c r="U60" s="34"/>
    </row>
    <row r="61" spans="1:21" ht="18.75" customHeight="1">
      <c r="A61" s="11">
        <v>59</v>
      </c>
      <c r="B61" s="41" t="s">
        <v>87</v>
      </c>
      <c r="C61" s="34" t="s">
        <v>84</v>
      </c>
      <c r="D61" s="36"/>
      <c r="E61" s="28"/>
      <c r="F61" s="23"/>
      <c r="G61" s="24"/>
      <c r="H61" s="39"/>
      <c r="I61" s="39"/>
      <c r="J61" s="30"/>
      <c r="K61" s="16"/>
      <c r="L61" s="17"/>
      <c r="M61" s="16"/>
      <c r="N61" s="16"/>
      <c r="O61" s="16"/>
      <c r="P61" s="25"/>
      <c r="Q61" s="33"/>
      <c r="R61" s="23"/>
      <c r="S61" s="28"/>
      <c r="T61" s="34"/>
      <c r="U61" s="34"/>
    </row>
    <row r="62" spans="1:21" ht="18.75" customHeight="1">
      <c r="A62" s="11">
        <v>60</v>
      </c>
      <c r="B62" s="41" t="s">
        <v>88</v>
      </c>
      <c r="C62" s="34" t="s">
        <v>84</v>
      </c>
      <c r="D62" s="36"/>
      <c r="E62" s="28"/>
      <c r="F62" s="23"/>
      <c r="G62" s="24"/>
      <c r="H62" s="39"/>
      <c r="I62" s="39"/>
      <c r="J62" s="30">
        <v>5</v>
      </c>
      <c r="K62" s="16">
        <f t="shared" si="4"/>
        <v>40</v>
      </c>
      <c r="L62" s="17">
        <v>5</v>
      </c>
      <c r="M62" s="16">
        <f t="shared" si="6"/>
        <v>60</v>
      </c>
      <c r="N62" s="16">
        <f t="shared" si="7"/>
        <v>20</v>
      </c>
      <c r="O62" s="16">
        <f t="shared" si="5"/>
        <v>120</v>
      </c>
      <c r="P62" s="25">
        <v>24</v>
      </c>
      <c r="Q62" s="33"/>
      <c r="R62" s="23"/>
      <c r="S62" s="28">
        <v>22</v>
      </c>
      <c r="T62" s="34"/>
      <c r="U62" s="34"/>
    </row>
    <row r="63" spans="1:21" ht="18.75" customHeight="1">
      <c r="A63" s="11">
        <v>61</v>
      </c>
      <c r="B63" s="41" t="s">
        <v>90</v>
      </c>
      <c r="C63" s="34" t="s">
        <v>84</v>
      </c>
      <c r="D63" s="36"/>
      <c r="E63" s="28"/>
      <c r="F63" s="23"/>
      <c r="G63" s="24"/>
      <c r="H63" s="39"/>
      <c r="I63" s="39"/>
      <c r="J63" s="30"/>
      <c r="K63" s="16"/>
      <c r="L63" s="17"/>
      <c r="M63" s="16"/>
      <c r="N63" s="16"/>
      <c r="O63" s="16"/>
      <c r="P63" s="25"/>
      <c r="Q63" s="33"/>
      <c r="R63" s="23"/>
      <c r="S63" s="28"/>
      <c r="T63" s="34"/>
      <c r="U63" s="34"/>
    </row>
    <row r="64" spans="1:21" ht="18.75" customHeight="1">
      <c r="A64" s="11">
        <v>62</v>
      </c>
      <c r="B64" s="41" t="s">
        <v>91</v>
      </c>
      <c r="C64" s="34" t="s">
        <v>84</v>
      </c>
      <c r="D64" s="36"/>
      <c r="E64" s="28"/>
      <c r="F64" s="23"/>
      <c r="G64" s="24">
        <v>24</v>
      </c>
      <c r="H64" s="39"/>
      <c r="I64" s="39"/>
      <c r="J64" s="30">
        <v>2</v>
      </c>
      <c r="K64" s="16">
        <f t="shared" si="4"/>
        <v>16</v>
      </c>
      <c r="L64" s="17"/>
      <c r="M64" s="16"/>
      <c r="N64" s="16"/>
      <c r="O64" s="16">
        <f t="shared" si="5"/>
        <v>16</v>
      </c>
      <c r="P64" s="25"/>
      <c r="Q64" s="33"/>
      <c r="R64" s="23"/>
      <c r="S64" s="28"/>
      <c r="T64" s="34"/>
      <c r="U64" s="34"/>
    </row>
    <row r="65" spans="1:21" ht="18.75" customHeight="1">
      <c r="A65" s="11">
        <v>63</v>
      </c>
      <c r="B65" s="41" t="s">
        <v>92</v>
      </c>
      <c r="C65" s="34" t="s">
        <v>84</v>
      </c>
      <c r="D65" s="36"/>
      <c r="E65" s="28"/>
      <c r="F65" s="23"/>
      <c r="G65" s="24"/>
      <c r="H65" s="39"/>
      <c r="I65" s="39"/>
      <c r="J65" s="30">
        <v>2</v>
      </c>
      <c r="K65" s="16">
        <f t="shared" si="4"/>
        <v>16</v>
      </c>
      <c r="L65" s="17"/>
      <c r="M65" s="16"/>
      <c r="N65" s="16"/>
      <c r="O65" s="16">
        <f t="shared" si="5"/>
        <v>16</v>
      </c>
      <c r="P65" s="25"/>
      <c r="Q65" s="33"/>
      <c r="R65" s="23"/>
      <c r="S65" s="28"/>
      <c r="T65" s="34"/>
      <c r="U65" s="34"/>
    </row>
    <row r="66" spans="1:21" ht="18.75" customHeight="1">
      <c r="A66" s="11">
        <v>64</v>
      </c>
      <c r="B66" s="41" t="s">
        <v>93</v>
      </c>
      <c r="C66" s="34" t="s">
        <v>84</v>
      </c>
      <c r="D66" s="36"/>
      <c r="E66" s="28"/>
      <c r="F66" s="23"/>
      <c r="G66" s="24">
        <v>8</v>
      </c>
      <c r="H66" s="39"/>
      <c r="I66" s="39"/>
      <c r="J66" s="30">
        <v>15.5</v>
      </c>
      <c r="K66" s="16">
        <f t="shared" si="4"/>
        <v>124</v>
      </c>
      <c r="L66" s="17">
        <v>1</v>
      </c>
      <c r="M66" s="16">
        <f t="shared" si="6"/>
        <v>12</v>
      </c>
      <c r="N66" s="16">
        <f t="shared" si="7"/>
        <v>4</v>
      </c>
      <c r="O66" s="16">
        <f t="shared" si="5"/>
        <v>140</v>
      </c>
      <c r="P66" s="25"/>
      <c r="Q66" s="33"/>
      <c r="R66" s="23"/>
      <c r="S66" s="28"/>
      <c r="T66" s="34"/>
      <c r="U66" s="34"/>
    </row>
    <row r="67" spans="1:21" ht="18.75" customHeight="1">
      <c r="A67" s="11">
        <v>65</v>
      </c>
      <c r="B67" s="41" t="s">
        <v>94</v>
      </c>
      <c r="C67" s="34" t="s">
        <v>84</v>
      </c>
      <c r="D67" s="36"/>
      <c r="E67" s="28"/>
      <c r="F67" s="23"/>
      <c r="G67" s="24">
        <v>64</v>
      </c>
      <c r="H67" s="39"/>
      <c r="I67" s="39"/>
      <c r="J67" s="30">
        <v>3</v>
      </c>
      <c r="K67" s="16">
        <f t="shared" si="4"/>
        <v>24</v>
      </c>
      <c r="L67" s="17"/>
      <c r="M67" s="16"/>
      <c r="N67" s="16"/>
      <c r="O67" s="16">
        <f t="shared" si="5"/>
        <v>24</v>
      </c>
      <c r="P67" s="25"/>
      <c r="Q67" s="33"/>
      <c r="R67" s="23"/>
      <c r="S67" s="28"/>
      <c r="T67" s="34"/>
      <c r="U67" s="34"/>
    </row>
    <row r="68" spans="1:21" ht="18.75" customHeight="1">
      <c r="A68" s="11">
        <v>66</v>
      </c>
      <c r="B68" s="41" t="s">
        <v>95</v>
      </c>
      <c r="C68" s="34" t="s">
        <v>96</v>
      </c>
      <c r="D68" s="36"/>
      <c r="E68" s="28"/>
      <c r="F68" s="23"/>
      <c r="G68" s="24">
        <v>8</v>
      </c>
      <c r="H68" s="39"/>
      <c r="I68" s="39"/>
      <c r="J68" s="30">
        <v>7</v>
      </c>
      <c r="K68" s="16">
        <f t="shared" si="4"/>
        <v>56</v>
      </c>
      <c r="L68" s="17"/>
      <c r="M68" s="16"/>
      <c r="N68" s="16"/>
      <c r="O68" s="16">
        <f t="shared" si="5"/>
        <v>56</v>
      </c>
      <c r="P68" s="25"/>
      <c r="Q68" s="33">
        <v>30</v>
      </c>
      <c r="R68" s="23"/>
      <c r="S68" s="28">
        <v>10</v>
      </c>
      <c r="T68" s="34"/>
      <c r="U68" s="34"/>
    </row>
    <row r="69" spans="1:21" ht="18.75" customHeight="1">
      <c r="A69" s="11">
        <v>67</v>
      </c>
      <c r="B69" s="41" t="s">
        <v>97</v>
      </c>
      <c r="C69" s="34" t="s">
        <v>96</v>
      </c>
      <c r="D69" s="36"/>
      <c r="E69" s="28"/>
      <c r="F69" s="23"/>
      <c r="G69" s="24"/>
      <c r="H69" s="39"/>
      <c r="I69" s="39"/>
      <c r="J69" s="30">
        <v>1</v>
      </c>
      <c r="K69" s="16">
        <f t="shared" si="4"/>
        <v>8</v>
      </c>
      <c r="L69" s="17"/>
      <c r="M69" s="16"/>
      <c r="N69" s="16"/>
      <c r="O69" s="16">
        <f t="shared" si="5"/>
        <v>8</v>
      </c>
      <c r="P69" s="25"/>
      <c r="Q69" s="33"/>
      <c r="R69" s="23"/>
      <c r="S69" s="28"/>
      <c r="T69" s="34"/>
      <c r="U69" s="34"/>
    </row>
    <row r="70" spans="1:21" ht="18.75" customHeight="1">
      <c r="A70" s="11">
        <v>68</v>
      </c>
      <c r="B70" s="41" t="s">
        <v>98</v>
      </c>
      <c r="C70" s="34" t="s">
        <v>96</v>
      </c>
      <c r="D70" s="36" t="s">
        <v>478</v>
      </c>
      <c r="E70" s="28"/>
      <c r="F70" s="23"/>
      <c r="G70" s="24"/>
      <c r="H70" s="39"/>
      <c r="I70" s="39"/>
      <c r="J70" s="30">
        <v>2</v>
      </c>
      <c r="K70" s="16">
        <f t="shared" si="4"/>
        <v>16</v>
      </c>
      <c r="L70" s="17"/>
      <c r="M70" s="16"/>
      <c r="N70" s="16"/>
      <c r="O70" s="16">
        <f t="shared" si="5"/>
        <v>16</v>
      </c>
      <c r="P70" s="25"/>
      <c r="Q70" s="33"/>
      <c r="R70" s="23"/>
      <c r="S70" s="28"/>
      <c r="T70" s="34"/>
      <c r="U70" s="34"/>
    </row>
    <row r="71" spans="1:21" ht="18.75" customHeight="1">
      <c r="A71" s="11">
        <v>69</v>
      </c>
      <c r="B71" s="41" t="s">
        <v>99</v>
      </c>
      <c r="C71" s="34" t="s">
        <v>96</v>
      </c>
      <c r="D71" s="36"/>
      <c r="E71" s="28"/>
      <c r="F71" s="23"/>
      <c r="G71" s="24"/>
      <c r="H71" s="39"/>
      <c r="I71" s="39"/>
      <c r="J71" s="30">
        <v>2</v>
      </c>
      <c r="K71" s="16">
        <f t="shared" si="4"/>
        <v>16</v>
      </c>
      <c r="L71" s="17"/>
      <c r="M71" s="16">
        <f t="shared" si="6"/>
        <v>0</v>
      </c>
      <c r="N71" s="16">
        <f t="shared" si="7"/>
        <v>0</v>
      </c>
      <c r="O71" s="16">
        <f t="shared" si="5"/>
        <v>16</v>
      </c>
      <c r="P71" s="25"/>
      <c r="Q71" s="33"/>
      <c r="R71" s="23"/>
      <c r="S71" s="28"/>
      <c r="T71" s="34"/>
      <c r="U71" s="34"/>
    </row>
    <row r="72" spans="1:21" ht="18.75" customHeight="1">
      <c r="A72" s="11">
        <v>70</v>
      </c>
      <c r="B72" s="41" t="s">
        <v>100</v>
      </c>
      <c r="C72" s="34" t="s">
        <v>96</v>
      </c>
      <c r="D72" s="36" t="s">
        <v>480</v>
      </c>
      <c r="E72" s="28"/>
      <c r="F72" s="23"/>
      <c r="G72" s="24"/>
      <c r="H72" s="39"/>
      <c r="I72" s="39"/>
      <c r="J72" s="30"/>
      <c r="K72" s="16"/>
      <c r="L72" s="17"/>
      <c r="M72" s="16"/>
      <c r="N72" s="16"/>
      <c r="O72" s="16"/>
      <c r="P72" s="25"/>
      <c r="Q72" s="33"/>
      <c r="R72" s="23"/>
      <c r="S72" s="28"/>
      <c r="T72" s="34"/>
      <c r="U72" s="34"/>
    </row>
    <row r="73" spans="1:21" ht="18.75" customHeight="1">
      <c r="A73" s="11">
        <v>71</v>
      </c>
      <c r="B73" s="41" t="s">
        <v>101</v>
      </c>
      <c r="C73" s="34" t="s">
        <v>96</v>
      </c>
      <c r="D73" s="36"/>
      <c r="E73" s="28"/>
      <c r="F73" s="23"/>
      <c r="G73" s="24">
        <v>8</v>
      </c>
      <c r="H73" s="39"/>
      <c r="I73" s="39"/>
      <c r="J73" s="30">
        <v>7</v>
      </c>
      <c r="K73" s="16">
        <f t="shared" si="4"/>
        <v>56</v>
      </c>
      <c r="L73" s="17"/>
      <c r="M73" s="16"/>
      <c r="N73" s="16"/>
      <c r="O73" s="16">
        <f t="shared" si="5"/>
        <v>56</v>
      </c>
      <c r="P73" s="25"/>
      <c r="Q73" s="33"/>
      <c r="R73" s="23"/>
      <c r="S73" s="28"/>
      <c r="T73" s="34"/>
      <c r="U73" s="34"/>
    </row>
    <row r="74" spans="1:21" ht="18.75" customHeight="1">
      <c r="A74" s="11">
        <v>72</v>
      </c>
      <c r="B74" s="41" t="s">
        <v>102</v>
      </c>
      <c r="C74" s="34" t="s">
        <v>96</v>
      </c>
      <c r="D74" s="36" t="s">
        <v>480</v>
      </c>
      <c r="E74" s="28"/>
      <c r="F74" s="23"/>
      <c r="G74" s="24">
        <v>8</v>
      </c>
      <c r="H74" s="39"/>
      <c r="I74" s="39"/>
      <c r="J74" s="30">
        <v>7</v>
      </c>
      <c r="K74" s="16">
        <f t="shared" ref="K74:K139" si="8">J74*8</f>
        <v>56</v>
      </c>
      <c r="L74" s="17"/>
      <c r="M74" s="16"/>
      <c r="N74" s="16"/>
      <c r="O74" s="16">
        <f t="shared" ref="O74:O139" si="9">N74+M74+K74</f>
        <v>56</v>
      </c>
      <c r="P74" s="25"/>
      <c r="Q74" s="33"/>
      <c r="R74" s="23"/>
      <c r="S74" s="28"/>
      <c r="T74" s="34"/>
      <c r="U74" s="34"/>
    </row>
    <row r="75" spans="1:21" ht="18.75" customHeight="1">
      <c r="A75" s="11">
        <v>73</v>
      </c>
      <c r="B75" s="41" t="s">
        <v>103</v>
      </c>
      <c r="C75" s="34" t="s">
        <v>96</v>
      </c>
      <c r="D75" s="36"/>
      <c r="E75" s="28"/>
      <c r="F75" s="23"/>
      <c r="G75" s="24"/>
      <c r="H75" s="39"/>
      <c r="I75" s="39"/>
      <c r="J75" s="30">
        <v>5</v>
      </c>
      <c r="K75" s="16">
        <f t="shared" si="8"/>
        <v>40</v>
      </c>
      <c r="L75" s="17"/>
      <c r="M75" s="16"/>
      <c r="N75" s="16"/>
      <c r="O75" s="16">
        <f t="shared" si="9"/>
        <v>40</v>
      </c>
      <c r="P75" s="25"/>
      <c r="Q75" s="33"/>
      <c r="R75" s="23"/>
      <c r="S75" s="28"/>
      <c r="T75" s="34"/>
      <c r="U75" s="34"/>
    </row>
    <row r="76" spans="1:21" ht="18.75" customHeight="1">
      <c r="A76" s="11">
        <v>74</v>
      </c>
      <c r="B76" s="41" t="s">
        <v>104</v>
      </c>
      <c r="C76" s="34" t="s">
        <v>96</v>
      </c>
      <c r="D76" s="36"/>
      <c r="E76" s="28"/>
      <c r="F76" s="23"/>
      <c r="G76" s="24">
        <v>8</v>
      </c>
      <c r="H76" s="39"/>
      <c r="I76" s="39"/>
      <c r="J76" s="30">
        <v>2</v>
      </c>
      <c r="K76" s="16">
        <f t="shared" si="8"/>
        <v>16</v>
      </c>
      <c r="L76" s="17"/>
      <c r="M76" s="16"/>
      <c r="N76" s="16"/>
      <c r="O76" s="16">
        <f t="shared" si="9"/>
        <v>16</v>
      </c>
      <c r="P76" s="25"/>
      <c r="Q76" s="33"/>
      <c r="R76" s="23"/>
      <c r="S76" s="28"/>
      <c r="T76" s="34"/>
      <c r="U76" s="34"/>
    </row>
    <row r="77" spans="1:21" ht="18.75" customHeight="1">
      <c r="A77" s="11">
        <v>75</v>
      </c>
      <c r="B77" s="41" t="s">
        <v>105</v>
      </c>
      <c r="C77" s="34" t="s">
        <v>96</v>
      </c>
      <c r="D77" s="36"/>
      <c r="E77" s="28"/>
      <c r="F77" s="23"/>
      <c r="G77" s="24"/>
      <c r="H77" s="39"/>
      <c r="I77" s="39"/>
      <c r="J77" s="30">
        <v>9.5</v>
      </c>
      <c r="K77" s="16">
        <f t="shared" si="8"/>
        <v>76</v>
      </c>
      <c r="L77" s="17">
        <v>1</v>
      </c>
      <c r="M77" s="16">
        <f t="shared" ref="M77:M139" si="10">L77*12</f>
        <v>12</v>
      </c>
      <c r="N77" s="16">
        <f t="shared" ref="N77:N139" si="11">L77*4</f>
        <v>4</v>
      </c>
      <c r="O77" s="16">
        <f t="shared" si="9"/>
        <v>92</v>
      </c>
      <c r="P77" s="25"/>
      <c r="Q77" s="33"/>
      <c r="R77" s="23"/>
      <c r="S77" s="28"/>
      <c r="T77" s="34"/>
      <c r="U77" s="34"/>
    </row>
    <row r="78" spans="1:21" ht="18.75" customHeight="1">
      <c r="A78" s="11">
        <v>76</v>
      </c>
      <c r="B78" s="41" t="s">
        <v>106</v>
      </c>
      <c r="C78" s="34" t="s">
        <v>96</v>
      </c>
      <c r="D78" s="36"/>
      <c r="E78" s="28"/>
      <c r="F78" s="23"/>
      <c r="G78" s="24"/>
      <c r="H78" s="39"/>
      <c r="I78" s="39" t="s">
        <v>488</v>
      </c>
      <c r="J78" s="30">
        <v>1</v>
      </c>
      <c r="K78" s="16">
        <f t="shared" si="8"/>
        <v>8</v>
      </c>
      <c r="L78" s="17"/>
      <c r="M78" s="16"/>
      <c r="N78" s="16"/>
      <c r="O78" s="16">
        <f t="shared" si="9"/>
        <v>8</v>
      </c>
      <c r="P78" s="25"/>
      <c r="Q78" s="33"/>
      <c r="R78" s="23"/>
      <c r="S78" s="28"/>
      <c r="T78" s="34"/>
      <c r="U78" s="34"/>
    </row>
    <row r="79" spans="1:21" ht="18.75" customHeight="1">
      <c r="A79" s="11">
        <v>77</v>
      </c>
      <c r="B79" s="41" t="s">
        <v>107</v>
      </c>
      <c r="C79" s="34" t="s">
        <v>96</v>
      </c>
      <c r="D79" s="36" t="s">
        <v>480</v>
      </c>
      <c r="E79" s="28"/>
      <c r="F79" s="23"/>
      <c r="G79" s="24"/>
      <c r="H79" s="39"/>
      <c r="I79" s="39"/>
      <c r="J79" s="30">
        <v>2</v>
      </c>
      <c r="K79" s="16">
        <f t="shared" si="8"/>
        <v>16</v>
      </c>
      <c r="L79" s="17"/>
      <c r="M79" s="16"/>
      <c r="N79" s="16"/>
      <c r="O79" s="16">
        <f t="shared" si="9"/>
        <v>16</v>
      </c>
      <c r="P79" s="25"/>
      <c r="Q79" s="33"/>
      <c r="R79" s="23"/>
      <c r="S79" s="28"/>
      <c r="T79" s="34"/>
      <c r="U79" s="34"/>
    </row>
    <row r="80" spans="1:21" ht="18.75" customHeight="1">
      <c r="A80" s="11">
        <v>78</v>
      </c>
      <c r="B80" s="41" t="s">
        <v>108</v>
      </c>
      <c r="C80" s="34" t="s">
        <v>96</v>
      </c>
      <c r="D80" s="36" t="s">
        <v>480</v>
      </c>
      <c r="E80" s="28"/>
      <c r="F80" s="23"/>
      <c r="G80" s="24"/>
      <c r="H80" s="39"/>
      <c r="I80" s="39"/>
      <c r="J80" s="30">
        <v>6</v>
      </c>
      <c r="K80" s="16">
        <f t="shared" si="8"/>
        <v>48</v>
      </c>
      <c r="L80" s="17"/>
      <c r="M80" s="16"/>
      <c r="N80" s="16"/>
      <c r="O80" s="16">
        <f t="shared" si="9"/>
        <v>48</v>
      </c>
      <c r="P80" s="25"/>
      <c r="Q80" s="33"/>
      <c r="R80" s="23"/>
      <c r="S80" s="28"/>
      <c r="T80" s="34"/>
      <c r="U80" s="34"/>
    </row>
    <row r="81" spans="1:21" ht="18.75" customHeight="1">
      <c r="A81" s="11">
        <v>79</v>
      </c>
      <c r="B81" s="41" t="s">
        <v>109</v>
      </c>
      <c r="C81" s="34" t="s">
        <v>96</v>
      </c>
      <c r="D81" s="36"/>
      <c r="E81" s="28"/>
      <c r="F81" s="39"/>
      <c r="G81" s="97">
        <v>88</v>
      </c>
      <c r="H81" s="39"/>
      <c r="I81" s="39"/>
      <c r="J81" s="30"/>
      <c r="K81" s="16"/>
      <c r="L81" s="17"/>
      <c r="M81" s="16"/>
      <c r="N81" s="16"/>
      <c r="O81" s="16"/>
      <c r="P81" s="25"/>
      <c r="Q81" s="33"/>
      <c r="R81" s="23"/>
      <c r="S81" s="28"/>
      <c r="T81" s="34"/>
      <c r="U81" s="34"/>
    </row>
    <row r="82" spans="1:21" ht="18.75" customHeight="1">
      <c r="A82" s="11">
        <v>80</v>
      </c>
      <c r="B82" s="41" t="s">
        <v>110</v>
      </c>
      <c r="C82" s="34" t="s">
        <v>96</v>
      </c>
      <c r="D82" s="27" t="s">
        <v>480</v>
      </c>
      <c r="E82" s="28"/>
      <c r="F82" s="23"/>
      <c r="G82" s="24"/>
      <c r="H82" s="39"/>
      <c r="I82" s="39"/>
      <c r="J82" s="30">
        <v>6</v>
      </c>
      <c r="K82" s="16">
        <f t="shared" si="8"/>
        <v>48</v>
      </c>
      <c r="L82" s="17"/>
      <c r="M82" s="16"/>
      <c r="N82" s="16"/>
      <c r="O82" s="16">
        <f t="shared" si="9"/>
        <v>48</v>
      </c>
      <c r="P82" s="25"/>
      <c r="Q82" s="33"/>
      <c r="R82" s="23"/>
      <c r="S82" s="28"/>
      <c r="T82" s="34"/>
      <c r="U82" s="34"/>
    </row>
    <row r="83" spans="1:21" ht="18.75" customHeight="1">
      <c r="A83" s="11">
        <v>81</v>
      </c>
      <c r="B83" s="41" t="s">
        <v>111</v>
      </c>
      <c r="C83" s="34" t="s">
        <v>96</v>
      </c>
      <c r="D83" s="36"/>
      <c r="E83" s="28"/>
      <c r="F83" s="23"/>
      <c r="G83" s="24"/>
      <c r="H83" s="39"/>
      <c r="I83" s="39"/>
      <c r="J83" s="30"/>
      <c r="K83" s="16"/>
      <c r="L83" s="17"/>
      <c r="M83" s="16"/>
      <c r="N83" s="16"/>
      <c r="O83" s="16"/>
      <c r="P83" s="25">
        <v>6</v>
      </c>
      <c r="Q83" s="33"/>
      <c r="R83" s="23"/>
      <c r="S83" s="28">
        <v>38.5</v>
      </c>
      <c r="T83" s="34"/>
      <c r="U83" s="34"/>
    </row>
    <row r="84" spans="1:21" ht="18.75" customHeight="1">
      <c r="A84" s="11">
        <v>82</v>
      </c>
      <c r="B84" s="41" t="s">
        <v>112</v>
      </c>
      <c r="C84" s="34" t="s">
        <v>96</v>
      </c>
      <c r="D84" s="36"/>
      <c r="E84" s="28"/>
      <c r="F84" s="39"/>
      <c r="G84" s="97">
        <v>8</v>
      </c>
      <c r="H84" s="39"/>
      <c r="I84" s="39"/>
      <c r="J84" s="30">
        <v>2</v>
      </c>
      <c r="K84" s="16">
        <f t="shared" si="8"/>
        <v>16</v>
      </c>
      <c r="L84" s="17"/>
      <c r="M84" s="16"/>
      <c r="N84" s="16"/>
      <c r="O84" s="16">
        <f t="shared" si="9"/>
        <v>16</v>
      </c>
      <c r="P84" s="25"/>
      <c r="Q84" s="33"/>
      <c r="R84" s="23"/>
      <c r="S84" s="28"/>
      <c r="T84" s="34"/>
      <c r="U84" s="34"/>
    </row>
    <row r="85" spans="1:21" ht="18.75" customHeight="1">
      <c r="A85" s="11">
        <v>83</v>
      </c>
      <c r="B85" s="41" t="s">
        <v>113</v>
      </c>
      <c r="C85" s="34" t="s">
        <v>96</v>
      </c>
      <c r="D85" s="27" t="s">
        <v>479</v>
      </c>
      <c r="E85" s="28"/>
      <c r="F85" s="23"/>
      <c r="G85" s="24"/>
      <c r="H85" s="39"/>
      <c r="I85" s="39"/>
      <c r="J85" s="30">
        <v>2</v>
      </c>
      <c r="K85" s="16">
        <f t="shared" si="8"/>
        <v>16</v>
      </c>
      <c r="L85" s="17"/>
      <c r="M85" s="16"/>
      <c r="N85" s="16"/>
      <c r="O85" s="16">
        <f t="shared" si="9"/>
        <v>16</v>
      </c>
      <c r="P85" s="25"/>
      <c r="Q85" s="33"/>
      <c r="R85" s="23"/>
      <c r="S85" s="28"/>
      <c r="T85" s="34"/>
      <c r="U85" s="34"/>
    </row>
    <row r="86" spans="1:21" ht="18.75" customHeight="1">
      <c r="A86" s="11">
        <v>84</v>
      </c>
      <c r="B86" s="41" t="s">
        <v>114</v>
      </c>
      <c r="C86" s="34" t="s">
        <v>96</v>
      </c>
      <c r="D86" s="36"/>
      <c r="E86" s="28"/>
      <c r="F86" s="23"/>
      <c r="G86" s="24"/>
      <c r="H86" s="39"/>
      <c r="I86" s="39"/>
      <c r="J86" s="30">
        <v>8</v>
      </c>
      <c r="K86" s="16">
        <f t="shared" si="8"/>
        <v>64</v>
      </c>
      <c r="L86" s="17"/>
      <c r="M86" s="16"/>
      <c r="N86" s="16"/>
      <c r="O86" s="16">
        <f t="shared" si="9"/>
        <v>64</v>
      </c>
      <c r="P86" s="25"/>
      <c r="Q86" s="33"/>
      <c r="R86" s="23"/>
      <c r="S86" s="28"/>
      <c r="T86" s="34"/>
      <c r="U86" s="34"/>
    </row>
    <row r="87" spans="1:21" ht="18.75" customHeight="1">
      <c r="A87" s="11">
        <v>85</v>
      </c>
      <c r="B87" s="41" t="s">
        <v>115</v>
      </c>
      <c r="C87" s="34" t="s">
        <v>96</v>
      </c>
      <c r="D87" s="36"/>
      <c r="E87" s="28"/>
      <c r="F87" s="23"/>
      <c r="G87" s="24"/>
      <c r="H87" s="39"/>
      <c r="I87" s="39"/>
      <c r="J87" s="30">
        <v>6</v>
      </c>
      <c r="K87" s="16">
        <f t="shared" si="8"/>
        <v>48</v>
      </c>
      <c r="L87" s="17"/>
      <c r="M87" s="16"/>
      <c r="N87" s="16"/>
      <c r="O87" s="16">
        <f t="shared" si="9"/>
        <v>48</v>
      </c>
      <c r="P87" s="25">
        <v>8</v>
      </c>
      <c r="Q87" s="33">
        <v>22</v>
      </c>
      <c r="R87" s="23"/>
      <c r="S87" s="28"/>
      <c r="T87" s="34"/>
      <c r="U87" s="34"/>
    </row>
    <row r="88" spans="1:21" ht="18.75" customHeight="1">
      <c r="A88" s="11">
        <v>86</v>
      </c>
      <c r="B88" s="41" t="s">
        <v>116</v>
      </c>
      <c r="C88" s="34" t="s">
        <v>96</v>
      </c>
      <c r="D88" s="36"/>
      <c r="E88" s="28"/>
      <c r="F88" s="23"/>
      <c r="G88" s="24"/>
      <c r="H88" s="39"/>
      <c r="I88" s="39"/>
      <c r="J88" s="30">
        <v>2</v>
      </c>
      <c r="K88" s="16">
        <f t="shared" si="8"/>
        <v>16</v>
      </c>
      <c r="L88" s="17"/>
      <c r="M88" s="16"/>
      <c r="N88" s="16"/>
      <c r="O88" s="16">
        <f t="shared" si="9"/>
        <v>16</v>
      </c>
      <c r="P88" s="25"/>
      <c r="Q88" s="33"/>
      <c r="R88" s="23"/>
      <c r="S88" s="28"/>
      <c r="T88" s="34"/>
      <c r="U88" s="34"/>
    </row>
    <row r="89" spans="1:21" ht="18.75" customHeight="1">
      <c r="A89" s="11">
        <v>87</v>
      </c>
      <c r="B89" s="41" t="s">
        <v>117</v>
      </c>
      <c r="C89" s="34" t="s">
        <v>96</v>
      </c>
      <c r="D89" s="36" t="s">
        <v>473</v>
      </c>
      <c r="E89" s="28"/>
      <c r="F89" s="23">
        <v>40</v>
      </c>
      <c r="G89" s="24"/>
      <c r="H89" s="39"/>
      <c r="I89" s="39" t="s">
        <v>490</v>
      </c>
      <c r="J89" s="30">
        <v>2</v>
      </c>
      <c r="K89" s="16">
        <f t="shared" si="8"/>
        <v>16</v>
      </c>
      <c r="L89" s="17"/>
      <c r="M89" s="16"/>
      <c r="N89" s="16"/>
      <c r="O89" s="16">
        <f t="shared" si="9"/>
        <v>16</v>
      </c>
      <c r="P89" s="25"/>
      <c r="Q89" s="33"/>
      <c r="R89" s="23"/>
      <c r="S89" s="28"/>
      <c r="T89" s="34"/>
      <c r="U89" s="34"/>
    </row>
    <row r="90" spans="1:21" ht="18.75" customHeight="1">
      <c r="A90" s="11">
        <v>88</v>
      </c>
      <c r="B90" s="41" t="s">
        <v>118</v>
      </c>
      <c r="C90" s="34" t="s">
        <v>96</v>
      </c>
      <c r="D90" s="36"/>
      <c r="E90" s="28"/>
      <c r="F90" s="23"/>
      <c r="G90" s="24"/>
      <c r="H90" s="39"/>
      <c r="I90" s="39"/>
      <c r="J90" s="30">
        <v>5</v>
      </c>
      <c r="K90" s="16">
        <f t="shared" si="8"/>
        <v>40</v>
      </c>
      <c r="L90" s="17"/>
      <c r="M90" s="16"/>
      <c r="N90" s="16"/>
      <c r="O90" s="16">
        <f t="shared" si="9"/>
        <v>40</v>
      </c>
      <c r="P90" s="25"/>
      <c r="Q90" s="33"/>
      <c r="R90" s="23"/>
      <c r="S90" s="28"/>
      <c r="T90" s="34"/>
      <c r="U90" s="34"/>
    </row>
    <row r="91" spans="1:21" ht="18.75" customHeight="1">
      <c r="A91" s="11">
        <v>89</v>
      </c>
      <c r="B91" s="41" t="s">
        <v>119</v>
      </c>
      <c r="C91" s="34" t="s">
        <v>96</v>
      </c>
      <c r="D91" s="36"/>
      <c r="E91" s="28"/>
      <c r="F91" s="23"/>
      <c r="G91" s="24">
        <v>8</v>
      </c>
      <c r="H91" s="39"/>
      <c r="I91" s="39"/>
      <c r="J91" s="30">
        <v>1</v>
      </c>
      <c r="K91" s="16">
        <f t="shared" si="8"/>
        <v>8</v>
      </c>
      <c r="L91" s="17"/>
      <c r="M91" s="16"/>
      <c r="N91" s="16"/>
      <c r="O91" s="16">
        <f t="shared" si="9"/>
        <v>8</v>
      </c>
      <c r="P91" s="25"/>
      <c r="Q91" s="33"/>
      <c r="R91" s="23"/>
      <c r="S91" s="28"/>
      <c r="T91" s="34"/>
      <c r="U91" s="34"/>
    </row>
    <row r="92" spans="1:21" ht="18.75" customHeight="1">
      <c r="A92" s="11">
        <v>90</v>
      </c>
      <c r="B92" s="41" t="s">
        <v>120</v>
      </c>
      <c r="C92" s="34" t="s">
        <v>96</v>
      </c>
      <c r="D92" s="27" t="s">
        <v>479</v>
      </c>
      <c r="E92" s="28"/>
      <c r="F92" s="23"/>
      <c r="G92" s="24"/>
      <c r="H92" s="39"/>
      <c r="I92" s="39"/>
      <c r="J92" s="30">
        <v>9</v>
      </c>
      <c r="K92" s="16">
        <f t="shared" si="8"/>
        <v>72</v>
      </c>
      <c r="L92" s="17"/>
      <c r="M92" s="16"/>
      <c r="N92" s="16"/>
      <c r="O92" s="16">
        <f t="shared" si="9"/>
        <v>72</v>
      </c>
      <c r="P92" s="25"/>
      <c r="Q92" s="33"/>
      <c r="R92" s="23"/>
      <c r="S92" s="28"/>
      <c r="T92" s="34"/>
      <c r="U92" s="34"/>
    </row>
    <row r="93" spans="1:21" ht="18.75" customHeight="1">
      <c r="A93" s="11">
        <v>91</v>
      </c>
      <c r="B93" s="41" t="s">
        <v>121</v>
      </c>
      <c r="C93" s="34" t="s">
        <v>96</v>
      </c>
      <c r="D93" s="36"/>
      <c r="E93" s="28"/>
      <c r="F93" s="23"/>
      <c r="G93" s="24"/>
      <c r="H93" s="39"/>
      <c r="I93" s="39"/>
      <c r="J93" s="30">
        <v>1</v>
      </c>
      <c r="K93" s="16">
        <f t="shared" si="8"/>
        <v>8</v>
      </c>
      <c r="L93" s="17"/>
      <c r="M93" s="16"/>
      <c r="N93" s="16"/>
      <c r="O93" s="16">
        <f t="shared" si="9"/>
        <v>8</v>
      </c>
      <c r="P93" s="25"/>
      <c r="Q93" s="33"/>
      <c r="R93" s="23"/>
      <c r="S93" s="28"/>
      <c r="T93" s="34"/>
      <c r="U93" s="34"/>
    </row>
    <row r="94" spans="1:21" ht="18.75" customHeight="1">
      <c r="A94" s="11">
        <v>92</v>
      </c>
      <c r="B94" s="41" t="s">
        <v>122</v>
      </c>
      <c r="C94" s="34" t="s">
        <v>96</v>
      </c>
      <c r="D94" s="36"/>
      <c r="E94" s="28"/>
      <c r="F94" s="23"/>
      <c r="G94" s="24"/>
      <c r="H94" s="39"/>
      <c r="I94" s="39"/>
      <c r="J94" s="30"/>
      <c r="K94" s="16"/>
      <c r="L94" s="17"/>
      <c r="M94" s="16"/>
      <c r="N94" s="16"/>
      <c r="O94" s="16"/>
      <c r="P94" s="25"/>
      <c r="Q94" s="33"/>
      <c r="R94" s="23"/>
      <c r="S94" s="28"/>
      <c r="T94" s="34"/>
      <c r="U94" s="34"/>
    </row>
    <row r="95" spans="1:21" ht="18.75" customHeight="1">
      <c r="A95" s="11">
        <v>93</v>
      </c>
      <c r="B95" s="41" t="s">
        <v>123</v>
      </c>
      <c r="C95" s="34" t="s">
        <v>96</v>
      </c>
      <c r="D95" s="36"/>
      <c r="E95" s="28"/>
      <c r="F95" s="23"/>
      <c r="G95" s="24"/>
      <c r="H95" s="39"/>
      <c r="I95" s="39"/>
      <c r="J95" s="30">
        <v>12.5</v>
      </c>
      <c r="K95" s="16">
        <f t="shared" si="8"/>
        <v>100</v>
      </c>
      <c r="L95" s="17">
        <v>1</v>
      </c>
      <c r="M95" s="16">
        <f t="shared" si="10"/>
        <v>12</v>
      </c>
      <c r="N95" s="16">
        <f t="shared" si="11"/>
        <v>4</v>
      </c>
      <c r="O95" s="16">
        <f t="shared" si="9"/>
        <v>116</v>
      </c>
      <c r="P95" s="25"/>
      <c r="Q95" s="33"/>
      <c r="R95" s="23"/>
      <c r="S95" s="28"/>
      <c r="T95" s="34"/>
      <c r="U95" s="34"/>
    </row>
    <row r="96" spans="1:21" ht="18.75" customHeight="1">
      <c r="A96" s="11">
        <v>94</v>
      </c>
      <c r="B96" s="41" t="s">
        <v>124</v>
      </c>
      <c r="C96" s="34" t="s">
        <v>96</v>
      </c>
      <c r="D96" s="36"/>
      <c r="E96" s="28"/>
      <c r="F96" s="23"/>
      <c r="G96" s="24">
        <v>120</v>
      </c>
      <c r="H96" s="39"/>
      <c r="I96" s="39"/>
      <c r="J96" s="30">
        <v>2</v>
      </c>
      <c r="K96" s="16">
        <f t="shared" si="8"/>
        <v>16</v>
      </c>
      <c r="L96" s="17"/>
      <c r="M96" s="16"/>
      <c r="N96" s="16"/>
      <c r="O96" s="16">
        <f t="shared" si="9"/>
        <v>16</v>
      </c>
      <c r="P96" s="25"/>
      <c r="Q96" s="33"/>
      <c r="R96" s="23"/>
      <c r="S96" s="28"/>
      <c r="T96" s="34"/>
      <c r="U96" s="34"/>
    </row>
    <row r="97" spans="1:21" ht="18.75" customHeight="1">
      <c r="A97" s="11">
        <v>95</v>
      </c>
      <c r="B97" s="41" t="s">
        <v>125</v>
      </c>
      <c r="C97" s="34" t="s">
        <v>96</v>
      </c>
      <c r="D97" s="36"/>
      <c r="E97" s="28"/>
      <c r="F97" s="23"/>
      <c r="G97" s="24">
        <v>8</v>
      </c>
      <c r="H97" s="39"/>
      <c r="I97" s="39"/>
      <c r="J97" s="30">
        <v>2</v>
      </c>
      <c r="K97" s="16">
        <f t="shared" si="8"/>
        <v>16</v>
      </c>
      <c r="L97" s="17"/>
      <c r="M97" s="16"/>
      <c r="N97" s="16"/>
      <c r="O97" s="16">
        <f t="shared" si="9"/>
        <v>16</v>
      </c>
      <c r="P97" s="25"/>
      <c r="Q97" s="33"/>
      <c r="R97" s="23"/>
      <c r="S97" s="28"/>
      <c r="T97" s="34"/>
      <c r="U97" s="34"/>
    </row>
    <row r="98" spans="1:21" ht="18.75" customHeight="1">
      <c r="A98" s="11">
        <v>96</v>
      </c>
      <c r="B98" s="41" t="s">
        <v>126</v>
      </c>
      <c r="C98" s="34" t="s">
        <v>96</v>
      </c>
      <c r="D98" s="36"/>
      <c r="E98" s="28"/>
      <c r="F98" s="23"/>
      <c r="G98" s="24"/>
      <c r="H98" s="39"/>
      <c r="I98" s="39"/>
      <c r="J98" s="30"/>
      <c r="K98" s="16"/>
      <c r="L98" s="17"/>
      <c r="M98" s="16"/>
      <c r="N98" s="16"/>
      <c r="O98" s="16"/>
      <c r="P98" s="25"/>
      <c r="Q98" s="33"/>
      <c r="R98" s="23"/>
      <c r="S98" s="28"/>
      <c r="T98" s="34"/>
      <c r="U98" s="34"/>
    </row>
    <row r="99" spans="1:21" ht="18.75" customHeight="1">
      <c r="A99" s="11">
        <v>97</v>
      </c>
      <c r="B99" s="41" t="s">
        <v>127</v>
      </c>
      <c r="C99" s="34" t="s">
        <v>96</v>
      </c>
      <c r="D99" s="36"/>
      <c r="E99" s="28"/>
      <c r="F99" s="39"/>
      <c r="G99" s="97">
        <v>8</v>
      </c>
      <c r="H99" s="39"/>
      <c r="I99" s="39"/>
      <c r="J99" s="30">
        <v>3</v>
      </c>
      <c r="K99" s="16">
        <f t="shared" si="8"/>
        <v>24</v>
      </c>
      <c r="L99" s="17"/>
      <c r="M99" s="16"/>
      <c r="N99" s="16"/>
      <c r="O99" s="16">
        <f t="shared" si="9"/>
        <v>24</v>
      </c>
      <c r="P99" s="25"/>
      <c r="Q99" s="33"/>
      <c r="R99" s="23"/>
      <c r="S99" s="28"/>
      <c r="T99" s="34"/>
      <c r="U99" s="34"/>
    </row>
    <row r="100" spans="1:21" ht="18.75" customHeight="1">
      <c r="A100" s="11">
        <v>98</v>
      </c>
      <c r="B100" s="41" t="s">
        <v>128</v>
      </c>
      <c r="C100" s="34" t="s">
        <v>96</v>
      </c>
      <c r="D100" s="36"/>
      <c r="E100" s="28"/>
      <c r="F100" s="23"/>
      <c r="G100" s="24"/>
      <c r="H100" s="39"/>
      <c r="I100" s="39"/>
      <c r="J100" s="30">
        <v>1</v>
      </c>
      <c r="K100" s="16">
        <f t="shared" si="8"/>
        <v>8</v>
      </c>
      <c r="L100" s="17"/>
      <c r="M100" s="16"/>
      <c r="N100" s="16"/>
      <c r="O100" s="16">
        <f t="shared" si="9"/>
        <v>8</v>
      </c>
      <c r="P100" s="25">
        <v>10</v>
      </c>
      <c r="Q100" s="33">
        <v>23</v>
      </c>
      <c r="R100" s="23"/>
      <c r="S100" s="28"/>
      <c r="T100" s="34"/>
      <c r="U100" s="34"/>
    </row>
    <row r="101" spans="1:21" ht="18.75" customHeight="1">
      <c r="A101" s="11">
        <v>99</v>
      </c>
      <c r="B101" s="19" t="s">
        <v>129</v>
      </c>
      <c r="C101" s="34" t="s">
        <v>96</v>
      </c>
      <c r="D101" s="36"/>
      <c r="E101" s="28"/>
      <c r="F101" s="23">
        <v>144</v>
      </c>
      <c r="G101" s="24"/>
      <c r="H101" s="39"/>
      <c r="I101" s="39"/>
      <c r="J101" s="30">
        <v>4</v>
      </c>
      <c r="K101" s="16">
        <f t="shared" si="8"/>
        <v>32</v>
      </c>
      <c r="L101" s="17"/>
      <c r="M101" s="16"/>
      <c r="N101" s="16"/>
      <c r="O101" s="16">
        <f t="shared" si="9"/>
        <v>32</v>
      </c>
      <c r="P101" s="25"/>
      <c r="Q101" s="33"/>
      <c r="R101" s="23"/>
      <c r="S101" s="28"/>
      <c r="T101" s="34"/>
      <c r="U101" s="34"/>
    </row>
    <row r="102" spans="1:21" ht="18.75" customHeight="1">
      <c r="A102" s="11">
        <v>100</v>
      </c>
      <c r="B102" s="19" t="s">
        <v>130</v>
      </c>
      <c r="C102" s="34" t="s">
        <v>96</v>
      </c>
      <c r="D102" s="36" t="s">
        <v>470</v>
      </c>
      <c r="E102" s="28"/>
      <c r="F102" s="39"/>
      <c r="G102" s="82"/>
      <c r="H102" s="39"/>
      <c r="I102" s="39"/>
      <c r="J102" s="30"/>
      <c r="K102" s="16"/>
      <c r="L102" s="17"/>
      <c r="M102" s="16"/>
      <c r="N102" s="16"/>
      <c r="O102" s="16"/>
      <c r="P102" s="25"/>
      <c r="Q102" s="33"/>
      <c r="R102" s="23"/>
      <c r="S102" s="28"/>
      <c r="T102" s="34"/>
      <c r="U102" s="34"/>
    </row>
    <row r="103" spans="1:21" ht="18.75" customHeight="1">
      <c r="A103" s="11">
        <v>101</v>
      </c>
      <c r="B103" s="19" t="s">
        <v>131</v>
      </c>
      <c r="C103" s="34" t="s">
        <v>96</v>
      </c>
      <c r="D103" s="36"/>
      <c r="E103" s="28"/>
      <c r="F103" s="23"/>
      <c r="G103" s="24">
        <v>8</v>
      </c>
      <c r="H103" s="39"/>
      <c r="I103" s="39"/>
      <c r="J103" s="30"/>
      <c r="K103" s="16"/>
      <c r="L103" s="17"/>
      <c r="M103" s="16"/>
      <c r="N103" s="16"/>
      <c r="O103" s="16"/>
      <c r="P103" s="25"/>
      <c r="Q103" s="33"/>
      <c r="R103" s="23"/>
      <c r="S103" s="28"/>
      <c r="T103" s="34"/>
      <c r="U103" s="34"/>
    </row>
    <row r="104" spans="1:21" ht="18.75" customHeight="1">
      <c r="A104" s="11">
        <v>102</v>
      </c>
      <c r="B104" s="41" t="s">
        <v>132</v>
      </c>
      <c r="C104" s="34" t="s">
        <v>96</v>
      </c>
      <c r="D104" s="36"/>
      <c r="E104" s="28"/>
      <c r="F104" s="23"/>
      <c r="G104" s="24"/>
      <c r="H104" s="39"/>
      <c r="I104" s="39"/>
      <c r="J104" s="30"/>
      <c r="K104" s="16"/>
      <c r="L104" s="17"/>
      <c r="M104" s="16"/>
      <c r="N104" s="16"/>
      <c r="O104" s="16"/>
      <c r="P104" s="25"/>
      <c r="Q104" s="33"/>
      <c r="R104" s="23"/>
      <c r="S104" s="28"/>
      <c r="T104" s="34"/>
      <c r="U104" s="34"/>
    </row>
    <row r="105" spans="1:21" ht="18.75" customHeight="1">
      <c r="A105" s="11">
        <v>103</v>
      </c>
      <c r="B105" s="19" t="s">
        <v>134</v>
      </c>
      <c r="C105" s="34" t="s">
        <v>96</v>
      </c>
      <c r="D105" s="21"/>
      <c r="E105" s="28"/>
      <c r="F105" s="23">
        <v>144</v>
      </c>
      <c r="G105" s="24"/>
      <c r="H105" s="39"/>
      <c r="I105" s="39"/>
      <c r="J105" s="30"/>
      <c r="K105" s="16"/>
      <c r="L105" s="17"/>
      <c r="M105" s="16"/>
      <c r="N105" s="16"/>
      <c r="O105" s="16"/>
      <c r="P105" s="25"/>
      <c r="Q105" s="33"/>
      <c r="R105" s="23"/>
      <c r="S105" s="28"/>
      <c r="T105" s="34"/>
      <c r="U105" s="34"/>
    </row>
    <row r="106" spans="1:21" s="1" customFormat="1" ht="18.75" customHeight="1">
      <c r="A106" s="11">
        <v>104</v>
      </c>
      <c r="B106" s="42" t="s">
        <v>135</v>
      </c>
      <c r="C106" s="34" t="s">
        <v>96</v>
      </c>
      <c r="D106" s="21"/>
      <c r="E106" s="28"/>
      <c r="F106" s="23"/>
      <c r="G106" s="24"/>
      <c r="H106" s="39"/>
      <c r="I106" s="39"/>
      <c r="J106" s="30"/>
      <c r="K106" s="16"/>
      <c r="L106" s="17"/>
      <c r="M106" s="16"/>
      <c r="N106" s="16"/>
      <c r="O106" s="16"/>
      <c r="P106" s="25">
        <v>14.5</v>
      </c>
      <c r="Q106" s="33"/>
      <c r="R106" s="23"/>
      <c r="S106" s="28">
        <v>39</v>
      </c>
      <c r="T106" s="34"/>
      <c r="U106" s="34"/>
    </row>
    <row r="107" spans="1:21" ht="18.75" customHeight="1">
      <c r="A107" s="11">
        <v>105</v>
      </c>
      <c r="B107" s="19" t="s">
        <v>136</v>
      </c>
      <c r="C107" s="34" t="s">
        <v>96</v>
      </c>
      <c r="D107" s="21"/>
      <c r="E107" s="28"/>
      <c r="F107" s="23"/>
      <c r="G107" s="24"/>
      <c r="H107" s="39"/>
      <c r="I107" s="39"/>
      <c r="J107" s="30"/>
      <c r="K107" s="16"/>
      <c r="L107" s="17"/>
      <c r="M107" s="16"/>
      <c r="N107" s="16"/>
      <c r="O107" s="16"/>
      <c r="P107" s="25"/>
      <c r="Q107" s="33"/>
      <c r="R107" s="23"/>
      <c r="S107" s="28"/>
      <c r="T107" s="34"/>
      <c r="U107" s="34"/>
    </row>
    <row r="108" spans="1:21" s="1" customFormat="1" ht="18.75" customHeight="1">
      <c r="A108" s="11">
        <v>106</v>
      </c>
      <c r="B108" s="42" t="s">
        <v>137</v>
      </c>
      <c r="C108" s="34" t="s">
        <v>96</v>
      </c>
      <c r="D108" s="21"/>
      <c r="E108" s="28"/>
      <c r="F108" s="23"/>
      <c r="G108" s="24"/>
      <c r="H108" s="39"/>
      <c r="I108" s="39"/>
      <c r="J108" s="30">
        <v>11.5</v>
      </c>
      <c r="K108" s="16">
        <f t="shared" si="8"/>
        <v>92</v>
      </c>
      <c r="L108" s="17">
        <v>1</v>
      </c>
      <c r="M108" s="16">
        <f t="shared" si="10"/>
        <v>12</v>
      </c>
      <c r="N108" s="16">
        <f t="shared" si="11"/>
        <v>4</v>
      </c>
      <c r="O108" s="16">
        <f t="shared" si="9"/>
        <v>108</v>
      </c>
      <c r="P108" s="25"/>
      <c r="Q108" s="33"/>
      <c r="R108" s="23"/>
      <c r="S108" s="28"/>
      <c r="T108" s="34"/>
      <c r="U108" s="34"/>
    </row>
    <row r="109" spans="1:21" s="1" customFormat="1" ht="18.75" customHeight="1">
      <c r="A109" s="11">
        <v>107</v>
      </c>
      <c r="B109" s="42" t="s">
        <v>138</v>
      </c>
      <c r="C109" s="34" t="s">
        <v>96</v>
      </c>
      <c r="D109" s="43"/>
      <c r="E109" s="28"/>
      <c r="F109" s="23"/>
      <c r="G109" s="24"/>
      <c r="H109" s="39"/>
      <c r="I109" s="39"/>
      <c r="J109" s="30">
        <v>9.5</v>
      </c>
      <c r="K109" s="16">
        <f t="shared" si="8"/>
        <v>76</v>
      </c>
      <c r="L109" s="17">
        <v>1</v>
      </c>
      <c r="M109" s="16">
        <f t="shared" si="10"/>
        <v>12</v>
      </c>
      <c r="N109" s="16">
        <f t="shared" si="11"/>
        <v>4</v>
      </c>
      <c r="O109" s="16">
        <f t="shared" si="9"/>
        <v>92</v>
      </c>
      <c r="P109" s="25"/>
      <c r="Q109" s="33"/>
      <c r="R109" s="23"/>
      <c r="S109" s="28"/>
      <c r="T109" s="34"/>
      <c r="U109" s="47"/>
    </row>
    <row r="110" spans="1:21" s="1" customFormat="1" ht="18.75" customHeight="1">
      <c r="A110" s="11">
        <v>108</v>
      </c>
      <c r="B110" s="42" t="s">
        <v>139</v>
      </c>
      <c r="C110" s="34" t="s">
        <v>96</v>
      </c>
      <c r="D110" s="43" t="s">
        <v>460</v>
      </c>
      <c r="E110" s="28"/>
      <c r="F110" s="23"/>
      <c r="G110" s="24"/>
      <c r="H110" s="39"/>
      <c r="I110" s="39"/>
      <c r="J110" s="30"/>
      <c r="K110" s="16"/>
      <c r="L110" s="17"/>
      <c r="M110" s="16"/>
      <c r="N110" s="16"/>
      <c r="O110" s="16"/>
      <c r="P110" s="25"/>
      <c r="Q110" s="33"/>
      <c r="R110" s="23"/>
      <c r="S110" s="28"/>
      <c r="T110" s="34"/>
      <c r="U110" s="34"/>
    </row>
    <row r="111" spans="1:21" s="1" customFormat="1" ht="18.75" customHeight="1">
      <c r="A111" s="11">
        <v>109</v>
      </c>
      <c r="B111" s="42" t="s">
        <v>140</v>
      </c>
      <c r="C111" s="34" t="s">
        <v>96</v>
      </c>
      <c r="D111" s="43"/>
      <c r="E111" s="28"/>
      <c r="F111" s="23"/>
      <c r="G111" s="24"/>
      <c r="H111" s="39"/>
      <c r="I111" s="39"/>
      <c r="J111" s="30">
        <v>1</v>
      </c>
      <c r="K111" s="16">
        <f t="shared" ref="K111" si="12">J111*8</f>
        <v>8</v>
      </c>
      <c r="L111" s="17"/>
      <c r="M111" s="16"/>
      <c r="N111" s="16"/>
      <c r="O111" s="16">
        <f t="shared" ref="O111" si="13">N111+M111+K111</f>
        <v>8</v>
      </c>
      <c r="P111" s="25"/>
      <c r="Q111" s="33"/>
      <c r="R111" s="23"/>
      <c r="S111" s="28"/>
      <c r="T111" s="34"/>
      <c r="U111" s="34"/>
    </row>
    <row r="112" spans="1:21" s="1" customFormat="1" ht="18.75" customHeight="1">
      <c r="A112" s="11">
        <v>110</v>
      </c>
      <c r="B112" s="42" t="s">
        <v>141</v>
      </c>
      <c r="C112" s="34" t="s">
        <v>96</v>
      </c>
      <c r="D112" s="43" t="s">
        <v>450</v>
      </c>
      <c r="E112" s="28"/>
      <c r="F112" s="23"/>
      <c r="G112" s="24"/>
      <c r="H112" s="39"/>
      <c r="I112" s="39"/>
      <c r="J112" s="30"/>
      <c r="K112" s="16"/>
      <c r="L112" s="17"/>
      <c r="M112" s="16"/>
      <c r="N112" s="16"/>
      <c r="O112" s="16"/>
      <c r="P112" s="25"/>
      <c r="Q112" s="33"/>
      <c r="R112" s="23"/>
      <c r="S112" s="28"/>
      <c r="T112" s="34"/>
      <c r="U112" s="34"/>
    </row>
    <row r="113" spans="1:21" s="1" customFormat="1" ht="18.75" customHeight="1">
      <c r="A113" s="11">
        <v>111</v>
      </c>
      <c r="B113" s="42" t="s">
        <v>142</v>
      </c>
      <c r="C113" s="34" t="s">
        <v>96</v>
      </c>
      <c r="D113" s="43" t="s">
        <v>450</v>
      </c>
      <c r="E113" s="28"/>
      <c r="F113" s="23"/>
      <c r="G113" s="24"/>
      <c r="H113" s="39"/>
      <c r="I113" s="39"/>
      <c r="J113" s="30"/>
      <c r="K113" s="16"/>
      <c r="L113" s="17"/>
      <c r="M113" s="16"/>
      <c r="N113" s="16"/>
      <c r="O113" s="16"/>
      <c r="P113" s="25"/>
      <c r="Q113" s="33"/>
      <c r="R113" s="23"/>
      <c r="S113" s="28"/>
      <c r="T113" s="34"/>
      <c r="U113" s="34"/>
    </row>
    <row r="114" spans="1:21" s="1" customFormat="1" ht="18.75" customHeight="1">
      <c r="A114" s="11">
        <v>112</v>
      </c>
      <c r="B114" s="42" t="s">
        <v>143</v>
      </c>
      <c r="C114" s="34" t="s">
        <v>96</v>
      </c>
      <c r="D114" s="43" t="s">
        <v>463</v>
      </c>
      <c r="E114" s="28"/>
      <c r="F114" s="23"/>
      <c r="G114" s="24"/>
      <c r="H114" s="39"/>
      <c r="I114" s="39"/>
      <c r="J114" s="30"/>
      <c r="K114" s="16"/>
      <c r="L114" s="17"/>
      <c r="M114" s="16"/>
      <c r="N114" s="16"/>
      <c r="O114" s="16"/>
      <c r="P114" s="25"/>
      <c r="Q114" s="33"/>
      <c r="R114" s="23"/>
      <c r="S114" s="28"/>
      <c r="T114" s="34"/>
      <c r="U114" s="34"/>
    </row>
    <row r="115" spans="1:21" s="1" customFormat="1" ht="18.75" customHeight="1">
      <c r="A115" s="11">
        <v>113</v>
      </c>
      <c r="B115" s="42" t="s">
        <v>144</v>
      </c>
      <c r="C115" s="34" t="s">
        <v>96</v>
      </c>
      <c r="D115" s="43"/>
      <c r="E115" s="28"/>
      <c r="F115" s="23"/>
      <c r="G115" s="24"/>
      <c r="H115" s="39"/>
      <c r="I115" s="39"/>
      <c r="J115" s="30">
        <v>2</v>
      </c>
      <c r="K115" s="16">
        <f t="shared" si="8"/>
        <v>16</v>
      </c>
      <c r="L115" s="17"/>
      <c r="M115" s="16"/>
      <c r="N115" s="16"/>
      <c r="O115" s="16">
        <f t="shared" si="9"/>
        <v>16</v>
      </c>
      <c r="P115" s="25"/>
      <c r="Q115" s="33"/>
      <c r="R115" s="23"/>
      <c r="S115" s="28"/>
      <c r="T115" s="34"/>
      <c r="U115" s="34"/>
    </row>
    <row r="116" spans="1:21" s="1" customFormat="1" ht="18.75" customHeight="1">
      <c r="A116" s="11">
        <v>114</v>
      </c>
      <c r="B116" s="42" t="s">
        <v>145</v>
      </c>
      <c r="C116" s="34" t="s">
        <v>96</v>
      </c>
      <c r="D116" s="43"/>
      <c r="E116" s="28"/>
      <c r="F116" s="23"/>
      <c r="G116" s="24"/>
      <c r="H116" s="39"/>
      <c r="I116" s="39"/>
      <c r="J116" s="30"/>
      <c r="K116" s="16"/>
      <c r="L116" s="17"/>
      <c r="M116" s="16"/>
      <c r="N116" s="16"/>
      <c r="O116" s="16"/>
      <c r="P116" s="25"/>
      <c r="Q116" s="33"/>
      <c r="R116" s="23"/>
      <c r="S116" s="28"/>
      <c r="T116" s="34"/>
      <c r="U116" s="34"/>
    </row>
    <row r="117" spans="1:21" s="1" customFormat="1" ht="18.75" customHeight="1">
      <c r="A117" s="11">
        <v>115</v>
      </c>
      <c r="B117" s="42" t="s">
        <v>146</v>
      </c>
      <c r="C117" s="34" t="s">
        <v>96</v>
      </c>
      <c r="D117" s="43"/>
      <c r="E117" s="28"/>
      <c r="F117" s="23"/>
      <c r="G117" s="24">
        <v>24</v>
      </c>
      <c r="H117" s="39"/>
      <c r="I117" s="39"/>
      <c r="J117" s="30"/>
      <c r="K117" s="16"/>
      <c r="L117" s="17"/>
      <c r="M117" s="16"/>
      <c r="N117" s="16"/>
      <c r="O117" s="16"/>
      <c r="P117" s="25"/>
      <c r="Q117" s="33"/>
      <c r="R117" s="23"/>
      <c r="S117" s="28"/>
      <c r="T117" s="34"/>
      <c r="U117" s="34"/>
    </row>
    <row r="118" spans="1:21" s="1" customFormat="1" ht="18.75" customHeight="1">
      <c r="A118" s="11">
        <v>116</v>
      </c>
      <c r="B118" s="42" t="s">
        <v>147</v>
      </c>
      <c r="C118" s="34" t="s">
        <v>96</v>
      </c>
      <c r="D118" s="43"/>
      <c r="E118" s="28"/>
      <c r="F118" s="39"/>
      <c r="G118" s="31">
        <v>8</v>
      </c>
      <c r="H118" s="39"/>
      <c r="I118" s="39"/>
      <c r="J118" s="30">
        <v>5</v>
      </c>
      <c r="K118" s="16">
        <f t="shared" si="8"/>
        <v>40</v>
      </c>
      <c r="L118" s="17">
        <v>5</v>
      </c>
      <c r="M118" s="16">
        <f t="shared" si="10"/>
        <v>60</v>
      </c>
      <c r="N118" s="16">
        <f t="shared" si="11"/>
        <v>20</v>
      </c>
      <c r="O118" s="16">
        <f t="shared" si="9"/>
        <v>120</v>
      </c>
      <c r="P118" s="25"/>
      <c r="Q118" s="33"/>
      <c r="R118" s="23"/>
      <c r="S118" s="28"/>
      <c r="T118" s="34"/>
      <c r="U118" s="34"/>
    </row>
    <row r="119" spans="1:21" s="1" customFormat="1" ht="18.75" customHeight="1">
      <c r="A119" s="11">
        <v>117</v>
      </c>
      <c r="B119" s="42" t="s">
        <v>148</v>
      </c>
      <c r="C119" s="34" t="s">
        <v>96</v>
      </c>
      <c r="D119" s="21"/>
      <c r="E119" s="28"/>
      <c r="F119" s="23"/>
      <c r="G119" s="24"/>
      <c r="H119" s="39"/>
      <c r="I119" s="39"/>
      <c r="J119" s="30">
        <v>11</v>
      </c>
      <c r="K119" s="16">
        <f t="shared" si="8"/>
        <v>88</v>
      </c>
      <c r="L119" s="17"/>
      <c r="M119" s="16"/>
      <c r="N119" s="16"/>
      <c r="O119" s="16">
        <f t="shared" si="9"/>
        <v>88</v>
      </c>
      <c r="P119" s="25"/>
      <c r="Q119" s="33"/>
      <c r="R119" s="23"/>
      <c r="S119" s="28"/>
      <c r="T119" s="34"/>
      <c r="U119" s="34"/>
    </row>
    <row r="120" spans="1:21" s="1" customFormat="1" ht="18.75" customHeight="1">
      <c r="A120" s="11">
        <v>118</v>
      </c>
      <c r="B120" s="42" t="s">
        <v>149</v>
      </c>
      <c r="C120" s="34" t="s">
        <v>96</v>
      </c>
      <c r="D120" s="43"/>
      <c r="E120" s="28"/>
      <c r="F120" s="23"/>
      <c r="G120" s="24"/>
      <c r="H120" s="39"/>
      <c r="I120" s="39"/>
      <c r="J120" s="30">
        <v>7</v>
      </c>
      <c r="K120" s="16">
        <f t="shared" si="8"/>
        <v>56</v>
      </c>
      <c r="L120" s="17"/>
      <c r="M120" s="16"/>
      <c r="N120" s="16"/>
      <c r="O120" s="16">
        <f t="shared" si="9"/>
        <v>56</v>
      </c>
      <c r="P120" s="25"/>
      <c r="Q120" s="33"/>
      <c r="R120" s="23"/>
      <c r="S120" s="28"/>
      <c r="T120" s="34"/>
      <c r="U120" s="34"/>
    </row>
    <row r="121" spans="1:21" s="1" customFormat="1" ht="18.75" customHeight="1">
      <c r="A121" s="11">
        <v>119</v>
      </c>
      <c r="B121" s="42" t="s">
        <v>150</v>
      </c>
      <c r="C121" s="34" t="s">
        <v>96</v>
      </c>
      <c r="D121" s="43"/>
      <c r="E121" s="28"/>
      <c r="F121" s="23"/>
      <c r="G121" s="24"/>
      <c r="H121" s="39"/>
      <c r="I121" s="39"/>
      <c r="J121" s="30">
        <v>9.5</v>
      </c>
      <c r="K121" s="16">
        <f t="shared" si="8"/>
        <v>76</v>
      </c>
      <c r="L121" s="17">
        <v>8</v>
      </c>
      <c r="M121" s="16">
        <f t="shared" si="10"/>
        <v>96</v>
      </c>
      <c r="N121" s="16">
        <f t="shared" si="11"/>
        <v>32</v>
      </c>
      <c r="O121" s="16">
        <f t="shared" si="9"/>
        <v>204</v>
      </c>
      <c r="P121" s="25">
        <v>4</v>
      </c>
      <c r="Q121" s="33">
        <v>12</v>
      </c>
      <c r="R121" s="23"/>
      <c r="S121" s="28"/>
      <c r="T121" s="34"/>
      <c r="U121" s="34"/>
    </row>
    <row r="122" spans="1:21" s="1" customFormat="1" ht="18.75" customHeight="1">
      <c r="A122" s="11">
        <v>120</v>
      </c>
      <c r="B122" s="42" t="s">
        <v>151</v>
      </c>
      <c r="C122" s="34" t="s">
        <v>96</v>
      </c>
      <c r="D122" s="43" t="s">
        <v>469</v>
      </c>
      <c r="E122" s="28"/>
      <c r="F122" s="1">
        <v>64</v>
      </c>
      <c r="G122" s="24"/>
      <c r="H122" s="39"/>
      <c r="I122" s="39"/>
      <c r="J122" s="30"/>
      <c r="K122" s="16"/>
      <c r="L122" s="17"/>
      <c r="M122" s="16"/>
      <c r="N122" s="16"/>
      <c r="O122" s="16"/>
      <c r="P122" s="25"/>
      <c r="Q122" s="33"/>
      <c r="R122" s="23"/>
      <c r="S122" s="28"/>
      <c r="T122" s="34"/>
      <c r="U122" s="34"/>
    </row>
    <row r="123" spans="1:21" s="1" customFormat="1" ht="18.75" customHeight="1">
      <c r="A123" s="11">
        <v>121</v>
      </c>
      <c r="B123" s="42" t="s">
        <v>152</v>
      </c>
      <c r="C123" s="34" t="s">
        <v>96</v>
      </c>
      <c r="D123" s="43" t="s">
        <v>463</v>
      </c>
      <c r="E123" s="28"/>
      <c r="F123" s="23"/>
      <c r="G123" s="24"/>
      <c r="H123" s="39"/>
      <c r="I123" s="39"/>
      <c r="J123" s="30"/>
      <c r="K123" s="16"/>
      <c r="L123" s="17"/>
      <c r="M123" s="16"/>
      <c r="N123" s="16"/>
      <c r="O123" s="16"/>
      <c r="P123" s="25"/>
      <c r="Q123" s="33"/>
      <c r="R123" s="23"/>
      <c r="S123" s="28"/>
      <c r="T123" s="34"/>
      <c r="U123" s="34"/>
    </row>
    <row r="124" spans="1:21" s="1" customFormat="1" ht="18.75" customHeight="1">
      <c r="A124" s="11">
        <v>122</v>
      </c>
      <c r="B124" s="42" t="s">
        <v>153</v>
      </c>
      <c r="C124" s="34" t="s">
        <v>96</v>
      </c>
      <c r="D124" s="43"/>
      <c r="E124" s="28"/>
      <c r="F124" s="23"/>
      <c r="G124" s="24">
        <v>120</v>
      </c>
      <c r="H124" s="39"/>
      <c r="I124" s="39"/>
      <c r="J124" s="30">
        <v>5</v>
      </c>
      <c r="K124" s="16">
        <f t="shared" si="8"/>
        <v>40</v>
      </c>
      <c r="L124" s="17"/>
      <c r="M124" s="16"/>
      <c r="N124" s="16"/>
      <c r="O124" s="16">
        <f t="shared" si="9"/>
        <v>40</v>
      </c>
      <c r="P124" s="25"/>
      <c r="Q124" s="33"/>
      <c r="R124" s="23"/>
      <c r="S124" s="28"/>
      <c r="T124" s="34"/>
      <c r="U124" s="34"/>
    </row>
    <row r="125" spans="1:21" ht="18.75" customHeight="1">
      <c r="A125" s="11">
        <v>123</v>
      </c>
      <c r="B125" s="41" t="s">
        <v>154</v>
      </c>
      <c r="C125" s="34" t="s">
        <v>155</v>
      </c>
      <c r="D125" s="36"/>
      <c r="E125" s="28"/>
      <c r="F125" s="23"/>
      <c r="G125" s="24"/>
      <c r="H125" s="39"/>
      <c r="I125" s="39"/>
      <c r="J125" s="30">
        <v>4</v>
      </c>
      <c r="K125" s="16">
        <f t="shared" si="8"/>
        <v>32</v>
      </c>
      <c r="L125" s="17"/>
      <c r="M125" s="16"/>
      <c r="N125" s="16"/>
      <c r="O125" s="16">
        <f t="shared" si="9"/>
        <v>32</v>
      </c>
      <c r="P125" s="25"/>
      <c r="Q125" s="33"/>
      <c r="R125" s="23"/>
      <c r="S125" s="28"/>
      <c r="T125" s="34"/>
      <c r="U125" s="34"/>
    </row>
    <row r="126" spans="1:21" ht="18.75" customHeight="1">
      <c r="A126" s="11">
        <v>124</v>
      </c>
      <c r="B126" s="41" t="s">
        <v>156</v>
      </c>
      <c r="C126" s="34" t="s">
        <v>155</v>
      </c>
      <c r="D126" s="36"/>
      <c r="E126" s="28"/>
      <c r="F126" s="23"/>
      <c r="G126" s="24"/>
      <c r="H126" s="39"/>
      <c r="I126" s="39"/>
      <c r="J126" s="30">
        <v>9</v>
      </c>
      <c r="K126" s="16">
        <f t="shared" si="8"/>
        <v>72</v>
      </c>
      <c r="L126" s="17"/>
      <c r="M126" s="16"/>
      <c r="N126" s="16"/>
      <c r="O126" s="16">
        <f t="shared" si="9"/>
        <v>72</v>
      </c>
      <c r="P126" s="25"/>
      <c r="Q126" s="33"/>
      <c r="R126" s="23"/>
      <c r="S126" s="28"/>
      <c r="T126" s="34"/>
      <c r="U126" s="34"/>
    </row>
    <row r="127" spans="1:21" ht="18.75" customHeight="1">
      <c r="A127" s="11">
        <v>125</v>
      </c>
      <c r="B127" s="41" t="s">
        <v>157</v>
      </c>
      <c r="C127" s="34" t="s">
        <v>155</v>
      </c>
      <c r="D127" s="36"/>
      <c r="E127" s="28"/>
      <c r="F127" s="23"/>
      <c r="G127" s="24">
        <v>24</v>
      </c>
      <c r="H127" s="39"/>
      <c r="I127" s="39"/>
      <c r="J127" s="30">
        <v>11.5</v>
      </c>
      <c r="K127" s="16">
        <f t="shared" si="8"/>
        <v>92</v>
      </c>
      <c r="L127" s="17">
        <v>3</v>
      </c>
      <c r="M127" s="16">
        <f t="shared" si="10"/>
        <v>36</v>
      </c>
      <c r="N127" s="16">
        <f t="shared" si="11"/>
        <v>12</v>
      </c>
      <c r="O127" s="16">
        <f t="shared" si="9"/>
        <v>140</v>
      </c>
      <c r="P127" s="25"/>
      <c r="Q127" s="33"/>
      <c r="R127" s="23"/>
      <c r="S127" s="28"/>
      <c r="T127" s="34"/>
      <c r="U127" s="34"/>
    </row>
    <row r="128" spans="1:21" ht="18.75" customHeight="1">
      <c r="A128" s="11">
        <v>126</v>
      </c>
      <c r="B128" s="41" t="s">
        <v>158</v>
      </c>
      <c r="C128" s="34" t="s">
        <v>155</v>
      </c>
      <c r="D128" s="36"/>
      <c r="E128" s="28"/>
      <c r="F128" s="23"/>
      <c r="G128" s="24"/>
      <c r="H128" s="39"/>
      <c r="I128" s="39"/>
      <c r="J128" s="30">
        <v>9</v>
      </c>
      <c r="K128" s="16">
        <f t="shared" si="8"/>
        <v>72</v>
      </c>
      <c r="L128" s="17"/>
      <c r="M128" s="16"/>
      <c r="N128" s="16"/>
      <c r="O128" s="16">
        <f t="shared" si="9"/>
        <v>72</v>
      </c>
      <c r="P128" s="25"/>
      <c r="Q128" s="33"/>
      <c r="R128" s="23"/>
      <c r="S128" s="28"/>
      <c r="T128" s="34"/>
      <c r="U128" s="34"/>
    </row>
    <row r="129" spans="1:21" ht="18.75" customHeight="1">
      <c r="A129" s="11">
        <v>127</v>
      </c>
      <c r="B129" s="41" t="s">
        <v>159</v>
      </c>
      <c r="C129" s="34" t="s">
        <v>155</v>
      </c>
      <c r="D129" s="36"/>
      <c r="E129" s="28"/>
      <c r="F129" s="23"/>
      <c r="G129" s="24">
        <v>80</v>
      </c>
      <c r="H129" s="39"/>
      <c r="I129" s="39"/>
      <c r="J129" s="30"/>
      <c r="K129" s="16"/>
      <c r="L129" s="17"/>
      <c r="M129" s="16"/>
      <c r="N129" s="16"/>
      <c r="O129" s="16"/>
      <c r="P129" s="25"/>
      <c r="Q129" s="33"/>
      <c r="R129" s="23"/>
      <c r="S129" s="28"/>
      <c r="T129" s="34"/>
      <c r="U129" s="34"/>
    </row>
    <row r="130" spans="1:21" s="1" customFormat="1" ht="18.75" customHeight="1">
      <c r="A130" s="11">
        <v>128</v>
      </c>
      <c r="B130" s="41" t="s">
        <v>160</v>
      </c>
      <c r="C130" s="34" t="s">
        <v>155</v>
      </c>
      <c r="D130" s="36"/>
      <c r="E130" s="28"/>
      <c r="F130" s="23"/>
      <c r="G130" s="24"/>
      <c r="H130" s="39"/>
      <c r="I130" s="39"/>
      <c r="J130" s="30">
        <v>11.5</v>
      </c>
      <c r="K130" s="16">
        <f t="shared" si="8"/>
        <v>92</v>
      </c>
      <c r="L130" s="17">
        <v>1</v>
      </c>
      <c r="M130" s="16">
        <f t="shared" si="10"/>
        <v>12</v>
      </c>
      <c r="N130" s="16">
        <f t="shared" si="11"/>
        <v>4</v>
      </c>
      <c r="O130" s="16">
        <f t="shared" si="9"/>
        <v>108</v>
      </c>
      <c r="P130" s="25"/>
      <c r="Q130" s="33"/>
      <c r="R130" s="23"/>
      <c r="S130" s="28"/>
      <c r="T130" s="34"/>
      <c r="U130" s="34"/>
    </row>
    <row r="131" spans="1:21" ht="18.75" customHeight="1">
      <c r="A131" s="11">
        <v>129</v>
      </c>
      <c r="B131" s="41" t="s">
        <v>161</v>
      </c>
      <c r="C131" s="34" t="s">
        <v>155</v>
      </c>
      <c r="D131" s="27" t="s">
        <v>478</v>
      </c>
      <c r="E131" s="28"/>
      <c r="F131" s="23"/>
      <c r="G131" s="24"/>
      <c r="H131" s="39"/>
      <c r="I131" s="39"/>
      <c r="J131" s="30">
        <v>6</v>
      </c>
      <c r="K131" s="16">
        <f t="shared" si="8"/>
        <v>48</v>
      </c>
      <c r="L131" s="17"/>
      <c r="M131" s="16"/>
      <c r="N131" s="16"/>
      <c r="O131" s="16">
        <f t="shared" si="9"/>
        <v>48</v>
      </c>
      <c r="P131" s="25"/>
      <c r="Q131" s="33"/>
      <c r="R131" s="23"/>
      <c r="S131" s="28"/>
      <c r="T131" s="34"/>
      <c r="U131" s="34"/>
    </row>
    <row r="132" spans="1:21" ht="18.75" customHeight="1">
      <c r="A132" s="11">
        <v>130</v>
      </c>
      <c r="B132" s="41" t="s">
        <v>162</v>
      </c>
      <c r="C132" s="34" t="s">
        <v>155</v>
      </c>
      <c r="D132" s="36"/>
      <c r="E132" s="28"/>
      <c r="F132" s="23"/>
      <c r="G132" s="24"/>
      <c r="H132" s="39"/>
      <c r="I132" s="39"/>
      <c r="J132" s="30">
        <v>9</v>
      </c>
      <c r="K132" s="16">
        <f t="shared" si="8"/>
        <v>72</v>
      </c>
      <c r="L132" s="17">
        <v>4</v>
      </c>
      <c r="M132" s="16">
        <f t="shared" si="10"/>
        <v>48</v>
      </c>
      <c r="N132" s="16">
        <f t="shared" si="11"/>
        <v>16</v>
      </c>
      <c r="O132" s="16">
        <f t="shared" si="9"/>
        <v>136</v>
      </c>
      <c r="P132" s="25"/>
      <c r="Q132" s="33"/>
      <c r="R132" s="23"/>
      <c r="S132" s="28"/>
      <c r="T132" s="34"/>
      <c r="U132" s="34"/>
    </row>
    <row r="133" spans="1:21" ht="18.75" customHeight="1">
      <c r="A133" s="11">
        <v>131</v>
      </c>
      <c r="B133" s="41" t="s">
        <v>163</v>
      </c>
      <c r="C133" s="34" t="s">
        <v>155</v>
      </c>
      <c r="D133" s="36"/>
      <c r="E133" s="28"/>
      <c r="F133" s="23"/>
      <c r="G133" s="24">
        <v>24</v>
      </c>
      <c r="H133" s="39"/>
      <c r="I133" s="39"/>
      <c r="J133" s="30">
        <v>9.5</v>
      </c>
      <c r="K133" s="16">
        <f t="shared" si="8"/>
        <v>76</v>
      </c>
      <c r="L133" s="17">
        <v>5</v>
      </c>
      <c r="M133" s="16">
        <f t="shared" si="10"/>
        <v>60</v>
      </c>
      <c r="N133" s="16">
        <f t="shared" si="11"/>
        <v>20</v>
      </c>
      <c r="O133" s="16">
        <f t="shared" si="9"/>
        <v>156</v>
      </c>
      <c r="P133" s="25"/>
      <c r="Q133" s="33"/>
      <c r="R133" s="23"/>
      <c r="S133" s="28"/>
      <c r="T133" s="34"/>
      <c r="U133" s="34"/>
    </row>
    <row r="134" spans="1:21" ht="57.75" customHeight="1">
      <c r="A134" s="11">
        <v>132</v>
      </c>
      <c r="B134" s="41" t="s">
        <v>164</v>
      </c>
      <c r="C134" s="34" t="s">
        <v>155</v>
      </c>
      <c r="D134" s="46" t="s">
        <v>482</v>
      </c>
      <c r="E134" s="28"/>
      <c r="F134" s="23">
        <v>4.5</v>
      </c>
      <c r="G134" s="24"/>
      <c r="H134" s="39"/>
      <c r="I134" s="39"/>
      <c r="J134" s="30">
        <v>4</v>
      </c>
      <c r="K134" s="16">
        <f t="shared" si="8"/>
        <v>32</v>
      </c>
      <c r="L134" s="17"/>
      <c r="M134" s="16"/>
      <c r="N134" s="16"/>
      <c r="O134" s="16">
        <f t="shared" si="9"/>
        <v>32</v>
      </c>
      <c r="P134" s="25"/>
      <c r="Q134" s="33"/>
      <c r="R134" s="23"/>
      <c r="S134" s="28"/>
      <c r="T134" s="34"/>
      <c r="U134" s="34"/>
    </row>
    <row r="135" spans="1:21" ht="18.75" customHeight="1">
      <c r="A135" s="11">
        <v>133</v>
      </c>
      <c r="B135" s="41" t="s">
        <v>165</v>
      </c>
      <c r="C135" s="34" t="s">
        <v>155</v>
      </c>
      <c r="D135" s="36"/>
      <c r="E135" s="28"/>
      <c r="F135" s="23"/>
      <c r="G135" s="24"/>
      <c r="H135" s="39"/>
      <c r="I135" s="39"/>
      <c r="J135" s="30">
        <v>9</v>
      </c>
      <c r="K135" s="16">
        <f t="shared" si="8"/>
        <v>72</v>
      </c>
      <c r="L135" s="17"/>
      <c r="M135" s="16"/>
      <c r="N135" s="16"/>
      <c r="O135" s="16">
        <f t="shared" si="9"/>
        <v>72</v>
      </c>
      <c r="P135" s="25"/>
      <c r="Q135" s="33"/>
      <c r="R135" s="23"/>
      <c r="S135" s="28"/>
      <c r="T135" s="34"/>
      <c r="U135" s="34"/>
    </row>
    <row r="136" spans="1:21" ht="18.75" customHeight="1">
      <c r="A136" s="11">
        <v>134</v>
      </c>
      <c r="B136" s="42" t="s">
        <v>166</v>
      </c>
      <c r="C136" s="34" t="s">
        <v>155</v>
      </c>
      <c r="D136" s="12"/>
      <c r="E136" s="28"/>
      <c r="F136" s="23"/>
      <c r="G136" s="24"/>
      <c r="H136" s="39"/>
      <c r="I136" s="39"/>
      <c r="J136" s="30"/>
      <c r="K136" s="16"/>
      <c r="L136" s="17"/>
      <c r="M136" s="16"/>
      <c r="N136" s="16"/>
      <c r="O136" s="16"/>
      <c r="P136" s="25"/>
      <c r="Q136" s="33"/>
      <c r="R136" s="23"/>
      <c r="S136" s="28"/>
      <c r="T136" s="34"/>
      <c r="U136" s="34"/>
    </row>
    <row r="137" spans="1:21" ht="18.75" customHeight="1">
      <c r="A137" s="11">
        <v>135</v>
      </c>
      <c r="B137" s="42" t="s">
        <v>167</v>
      </c>
      <c r="C137" s="34" t="s">
        <v>155</v>
      </c>
      <c r="D137" s="12"/>
      <c r="E137" s="28"/>
      <c r="F137" s="23"/>
      <c r="G137" s="24">
        <v>24</v>
      </c>
      <c r="H137" s="39"/>
      <c r="I137" s="39"/>
      <c r="J137" s="30">
        <v>7</v>
      </c>
      <c r="K137" s="16">
        <f t="shared" si="8"/>
        <v>56</v>
      </c>
      <c r="L137" s="17"/>
      <c r="M137" s="16"/>
      <c r="N137" s="16"/>
      <c r="O137" s="16">
        <f t="shared" si="9"/>
        <v>56</v>
      </c>
      <c r="P137" s="25"/>
      <c r="Q137" s="33"/>
      <c r="R137" s="23"/>
      <c r="S137" s="28"/>
      <c r="T137" s="34"/>
      <c r="U137" s="34"/>
    </row>
    <row r="138" spans="1:21" ht="18.75" customHeight="1">
      <c r="A138" s="11">
        <v>136</v>
      </c>
      <c r="B138" s="19" t="s">
        <v>168</v>
      </c>
      <c r="C138" s="34" t="s">
        <v>155</v>
      </c>
      <c r="D138" s="21"/>
      <c r="E138" s="28"/>
      <c r="F138" s="23"/>
      <c r="G138" s="24">
        <v>2</v>
      </c>
      <c r="H138" s="39"/>
      <c r="I138" s="39"/>
      <c r="J138" s="30">
        <v>1</v>
      </c>
      <c r="K138" s="16">
        <f t="shared" si="8"/>
        <v>8</v>
      </c>
      <c r="L138" s="17"/>
      <c r="M138" s="16"/>
      <c r="N138" s="16"/>
      <c r="O138" s="16">
        <f t="shared" si="9"/>
        <v>8</v>
      </c>
      <c r="P138" s="25"/>
      <c r="Q138" s="33"/>
      <c r="R138" s="23"/>
      <c r="S138" s="28"/>
      <c r="T138" s="34"/>
      <c r="U138" s="34"/>
    </row>
    <row r="139" spans="1:21" ht="18.75" customHeight="1">
      <c r="A139" s="11">
        <v>137</v>
      </c>
      <c r="B139" s="19" t="s">
        <v>169</v>
      </c>
      <c r="C139" s="34" t="s">
        <v>155</v>
      </c>
      <c r="D139" s="21"/>
      <c r="E139" s="28"/>
      <c r="F139" s="23"/>
      <c r="G139" s="24">
        <v>24</v>
      </c>
      <c r="H139" s="39"/>
      <c r="I139" s="39"/>
      <c r="J139" s="30">
        <v>0.5</v>
      </c>
      <c r="K139" s="16">
        <f t="shared" si="8"/>
        <v>4</v>
      </c>
      <c r="L139" s="17">
        <v>2</v>
      </c>
      <c r="M139" s="16">
        <f t="shared" si="10"/>
        <v>24</v>
      </c>
      <c r="N139" s="16">
        <f t="shared" si="11"/>
        <v>8</v>
      </c>
      <c r="O139" s="16">
        <f t="shared" si="9"/>
        <v>36</v>
      </c>
      <c r="P139" s="25"/>
      <c r="Q139" s="33"/>
      <c r="R139" s="23"/>
      <c r="S139" s="28"/>
      <c r="T139" s="34"/>
      <c r="U139" s="34"/>
    </row>
    <row r="140" spans="1:21" ht="18.75" customHeight="1">
      <c r="A140" s="11">
        <v>138</v>
      </c>
      <c r="B140" s="42" t="s">
        <v>170</v>
      </c>
      <c r="C140" s="34" t="s">
        <v>155</v>
      </c>
      <c r="D140" s="21"/>
      <c r="E140" s="28"/>
      <c r="F140" s="23"/>
      <c r="G140" s="24"/>
      <c r="H140" s="39"/>
      <c r="I140" s="39"/>
      <c r="J140" s="30"/>
      <c r="K140" s="16"/>
      <c r="L140" s="17"/>
      <c r="M140" s="16"/>
      <c r="N140" s="16"/>
      <c r="O140" s="16"/>
      <c r="P140" s="25"/>
      <c r="Q140" s="33"/>
      <c r="R140" s="23"/>
      <c r="S140" s="28"/>
      <c r="T140" s="34"/>
      <c r="U140" s="34"/>
    </row>
    <row r="141" spans="1:21" s="1" customFormat="1" ht="18.75" customHeight="1">
      <c r="A141" s="11">
        <v>139</v>
      </c>
      <c r="B141" s="42" t="s">
        <v>171</v>
      </c>
      <c r="C141" s="34" t="s">
        <v>155</v>
      </c>
      <c r="D141" s="21"/>
      <c r="E141" s="28"/>
      <c r="F141" s="23"/>
      <c r="G141" s="24">
        <v>120</v>
      </c>
      <c r="H141" s="39"/>
      <c r="I141" s="39"/>
      <c r="J141" s="30">
        <v>3.5</v>
      </c>
      <c r="K141" s="16">
        <f t="shared" ref="K141:K196" si="14">J141*8</f>
        <v>28</v>
      </c>
      <c r="L141" s="17">
        <v>3</v>
      </c>
      <c r="M141" s="16">
        <f t="shared" ref="M141:M159" si="15">L141*12</f>
        <v>36</v>
      </c>
      <c r="N141" s="16">
        <f t="shared" ref="N141:N159" si="16">L141*4</f>
        <v>12</v>
      </c>
      <c r="O141" s="16">
        <f t="shared" ref="O141:O196" si="17">N141+M141+K141</f>
        <v>76</v>
      </c>
      <c r="P141" s="25"/>
      <c r="Q141" s="33"/>
      <c r="R141" s="23"/>
      <c r="S141" s="28"/>
      <c r="T141" s="34"/>
      <c r="U141" s="34"/>
    </row>
    <row r="142" spans="1:21" ht="18.75" customHeight="1">
      <c r="A142" s="11">
        <v>140</v>
      </c>
      <c r="B142" s="42" t="s">
        <v>172</v>
      </c>
      <c r="C142" s="34" t="s">
        <v>155</v>
      </c>
      <c r="D142" s="12"/>
      <c r="E142" s="28"/>
      <c r="F142" s="23"/>
      <c r="G142" s="24"/>
      <c r="H142" s="39"/>
      <c r="I142" s="39"/>
      <c r="J142" s="30">
        <v>2</v>
      </c>
      <c r="K142" s="16">
        <f t="shared" si="14"/>
        <v>16</v>
      </c>
      <c r="L142" s="17"/>
      <c r="M142" s="16">
        <f t="shared" si="15"/>
        <v>0</v>
      </c>
      <c r="N142" s="16">
        <f t="shared" si="16"/>
        <v>0</v>
      </c>
      <c r="O142" s="16">
        <f t="shared" si="17"/>
        <v>16</v>
      </c>
      <c r="P142" s="25"/>
      <c r="Q142" s="33"/>
      <c r="R142" s="23"/>
      <c r="S142" s="28"/>
      <c r="T142" s="34"/>
      <c r="U142" s="34"/>
    </row>
    <row r="143" spans="1:21" ht="18.75" customHeight="1">
      <c r="A143" s="11">
        <v>141</v>
      </c>
      <c r="B143" s="19" t="s">
        <v>173</v>
      </c>
      <c r="C143" s="34" t="s">
        <v>155</v>
      </c>
      <c r="D143" s="21"/>
      <c r="E143" s="28"/>
      <c r="F143" s="23"/>
      <c r="G143" s="24"/>
      <c r="H143" s="39"/>
      <c r="I143" s="39"/>
      <c r="J143" s="30">
        <v>5</v>
      </c>
      <c r="K143" s="16">
        <f t="shared" si="14"/>
        <v>40</v>
      </c>
      <c r="L143" s="17">
        <v>5</v>
      </c>
      <c r="M143" s="16">
        <f t="shared" si="15"/>
        <v>60</v>
      </c>
      <c r="N143" s="16">
        <f t="shared" si="16"/>
        <v>20</v>
      </c>
      <c r="O143" s="16">
        <f t="shared" si="17"/>
        <v>120</v>
      </c>
      <c r="P143" s="25"/>
      <c r="Q143" s="33"/>
      <c r="R143" s="23"/>
      <c r="S143" s="28"/>
      <c r="T143" s="34"/>
      <c r="U143" s="34"/>
    </row>
    <row r="144" spans="1:21" s="1" customFormat="1" ht="18.75" customHeight="1">
      <c r="A144" s="11">
        <v>142</v>
      </c>
      <c r="B144" s="42" t="s">
        <v>174</v>
      </c>
      <c r="C144" s="34" t="s">
        <v>155</v>
      </c>
      <c r="D144" s="21"/>
      <c r="E144" s="28"/>
      <c r="F144" s="23"/>
      <c r="G144" s="24">
        <v>8</v>
      </c>
      <c r="H144" s="39"/>
      <c r="I144" s="39"/>
      <c r="J144" s="30">
        <v>12</v>
      </c>
      <c r="K144" s="16">
        <f t="shared" si="14"/>
        <v>96</v>
      </c>
      <c r="L144" s="17"/>
      <c r="M144" s="16"/>
      <c r="N144" s="16"/>
      <c r="O144" s="16">
        <f t="shared" si="17"/>
        <v>96</v>
      </c>
      <c r="P144" s="25"/>
      <c r="Q144" s="33"/>
      <c r="R144" s="23"/>
      <c r="S144" s="28"/>
      <c r="T144" s="34"/>
      <c r="U144" s="34"/>
    </row>
    <row r="145" spans="1:21" s="1" customFormat="1" ht="18.75" customHeight="1">
      <c r="A145" s="11">
        <v>143</v>
      </c>
      <c r="B145" s="42" t="s">
        <v>175</v>
      </c>
      <c r="C145" s="34" t="s">
        <v>155</v>
      </c>
      <c r="D145" s="21"/>
      <c r="E145" s="28"/>
      <c r="F145" s="23"/>
      <c r="G145" s="24">
        <v>1</v>
      </c>
      <c r="H145" s="39"/>
      <c r="I145" s="39"/>
      <c r="J145" s="30"/>
      <c r="K145" s="16"/>
      <c r="L145" s="17"/>
      <c r="M145" s="16"/>
      <c r="N145" s="16"/>
      <c r="O145" s="16"/>
      <c r="P145" s="25"/>
      <c r="Q145" s="33"/>
      <c r="R145" s="23"/>
      <c r="S145" s="28"/>
      <c r="T145" s="34"/>
      <c r="U145" s="34"/>
    </row>
    <row r="146" spans="1:21" s="1" customFormat="1" ht="18.75" customHeight="1">
      <c r="A146" s="11">
        <v>144</v>
      </c>
      <c r="B146" s="32" t="s">
        <v>177</v>
      </c>
      <c r="C146" s="34" t="s">
        <v>155</v>
      </c>
      <c r="D146" s="36"/>
      <c r="E146" s="28"/>
      <c r="F146" s="23"/>
      <c r="G146" s="24">
        <v>40</v>
      </c>
      <c r="H146" s="39"/>
      <c r="I146" s="39"/>
      <c r="J146" s="30"/>
      <c r="K146" s="16"/>
      <c r="L146" s="17"/>
      <c r="M146" s="16"/>
      <c r="N146" s="16"/>
      <c r="O146" s="16"/>
      <c r="P146" s="25"/>
      <c r="Q146" s="33"/>
      <c r="R146" s="23"/>
      <c r="S146" s="28"/>
      <c r="T146" s="34"/>
      <c r="U146" s="34"/>
    </row>
    <row r="147" spans="1:21" s="1" customFormat="1" ht="18.75" customHeight="1">
      <c r="A147" s="11">
        <v>145</v>
      </c>
      <c r="B147" s="42" t="s">
        <v>178</v>
      </c>
      <c r="C147" s="34" t="s">
        <v>155</v>
      </c>
      <c r="D147" s="21"/>
      <c r="E147" s="28"/>
      <c r="F147" s="23"/>
      <c r="G147" s="24">
        <v>40</v>
      </c>
      <c r="H147" s="39"/>
      <c r="I147" s="39"/>
      <c r="J147" s="30">
        <v>5</v>
      </c>
      <c r="K147" s="16">
        <f t="shared" si="14"/>
        <v>40</v>
      </c>
      <c r="L147" s="17"/>
      <c r="M147" s="16"/>
      <c r="N147" s="16"/>
      <c r="O147" s="16">
        <f t="shared" si="17"/>
        <v>40</v>
      </c>
      <c r="P147" s="25"/>
      <c r="Q147" s="33"/>
      <c r="R147" s="23"/>
      <c r="S147" s="28"/>
      <c r="T147" s="34"/>
      <c r="U147" s="34"/>
    </row>
    <row r="148" spans="1:21" s="1" customFormat="1" ht="18.75" customHeight="1">
      <c r="A148" s="11">
        <v>146</v>
      </c>
      <c r="B148" s="42" t="s">
        <v>180</v>
      </c>
      <c r="C148" s="34" t="s">
        <v>155</v>
      </c>
      <c r="D148" s="21"/>
      <c r="E148" s="28"/>
      <c r="F148" s="23"/>
      <c r="G148" s="24"/>
      <c r="H148" s="39"/>
      <c r="I148" s="39"/>
      <c r="J148" s="30">
        <v>10</v>
      </c>
      <c r="K148" s="16">
        <f t="shared" si="14"/>
        <v>80</v>
      </c>
      <c r="L148" s="17"/>
      <c r="M148" s="16"/>
      <c r="N148" s="16"/>
      <c r="O148" s="16">
        <f t="shared" si="17"/>
        <v>80</v>
      </c>
      <c r="P148" s="25"/>
      <c r="Q148" s="33">
        <v>33</v>
      </c>
      <c r="R148" s="23"/>
      <c r="S148" s="28">
        <v>40</v>
      </c>
      <c r="T148" s="34"/>
      <c r="U148" s="34"/>
    </row>
    <row r="149" spans="1:21" s="1" customFormat="1" ht="18.75" customHeight="1">
      <c r="A149" s="11">
        <v>147</v>
      </c>
      <c r="B149" s="42" t="s">
        <v>181</v>
      </c>
      <c r="C149" s="34" t="s">
        <v>155</v>
      </c>
      <c r="D149" s="21" t="s">
        <v>463</v>
      </c>
      <c r="E149" s="28"/>
      <c r="F149" s="23"/>
      <c r="G149" s="24"/>
      <c r="H149" s="39"/>
      <c r="I149" s="39"/>
      <c r="J149" s="30"/>
      <c r="K149" s="16"/>
      <c r="L149" s="17"/>
      <c r="M149" s="16"/>
      <c r="N149" s="16"/>
      <c r="O149" s="16"/>
      <c r="P149" s="25"/>
      <c r="Q149" s="33"/>
      <c r="R149" s="23"/>
      <c r="S149" s="28"/>
      <c r="T149" s="34"/>
      <c r="U149" s="34"/>
    </row>
    <row r="150" spans="1:21" s="1" customFormat="1" ht="18.75" customHeight="1">
      <c r="A150" s="11">
        <v>148</v>
      </c>
      <c r="B150" s="42" t="s">
        <v>183</v>
      </c>
      <c r="C150" s="34" t="s">
        <v>155</v>
      </c>
      <c r="D150" s="21" t="s">
        <v>473</v>
      </c>
      <c r="E150" s="28"/>
      <c r="F150" s="23"/>
      <c r="G150" s="24"/>
      <c r="H150" s="39"/>
      <c r="I150" s="39"/>
      <c r="J150" s="30">
        <v>4.5</v>
      </c>
      <c r="K150" s="16">
        <f t="shared" si="14"/>
        <v>36</v>
      </c>
      <c r="L150" s="17">
        <v>1</v>
      </c>
      <c r="M150" s="16">
        <f t="shared" si="15"/>
        <v>12</v>
      </c>
      <c r="N150" s="16">
        <f t="shared" si="16"/>
        <v>4</v>
      </c>
      <c r="O150" s="16">
        <f t="shared" si="17"/>
        <v>52</v>
      </c>
      <c r="P150" s="25">
        <v>4</v>
      </c>
      <c r="Q150" s="33">
        <v>32</v>
      </c>
      <c r="R150" s="23"/>
      <c r="S150" s="28"/>
      <c r="T150" s="34"/>
      <c r="U150" s="34"/>
    </row>
    <row r="151" spans="1:21" s="1" customFormat="1" ht="18.75" customHeight="1">
      <c r="A151" s="11">
        <v>149</v>
      </c>
      <c r="B151" s="42" t="s">
        <v>184</v>
      </c>
      <c r="C151" s="34" t="s">
        <v>155</v>
      </c>
      <c r="D151" s="21" t="s">
        <v>472</v>
      </c>
      <c r="E151" s="28"/>
      <c r="F151" s="23"/>
      <c r="G151" s="24"/>
      <c r="H151" s="39"/>
      <c r="I151" s="39"/>
      <c r="J151" s="30"/>
      <c r="K151" s="16"/>
      <c r="L151" s="17"/>
      <c r="M151" s="16"/>
      <c r="N151" s="16"/>
      <c r="O151" s="16"/>
      <c r="P151" s="25"/>
      <c r="Q151" s="33"/>
      <c r="R151" s="23"/>
      <c r="S151" s="28"/>
      <c r="T151" s="34"/>
      <c r="U151" s="34"/>
    </row>
    <row r="152" spans="1:21" s="1" customFormat="1" ht="18.75" customHeight="1">
      <c r="A152" s="11">
        <v>150</v>
      </c>
      <c r="B152" s="42" t="s">
        <v>185</v>
      </c>
      <c r="C152" s="34" t="s">
        <v>155</v>
      </c>
      <c r="D152" s="21"/>
      <c r="E152" s="28"/>
      <c r="F152" s="23"/>
      <c r="G152" s="24"/>
      <c r="H152" s="39"/>
      <c r="I152" s="39"/>
      <c r="J152" s="30">
        <v>10</v>
      </c>
      <c r="K152" s="16">
        <f t="shared" si="14"/>
        <v>80</v>
      </c>
      <c r="L152" s="17"/>
      <c r="M152" s="16"/>
      <c r="N152" s="16"/>
      <c r="O152" s="16">
        <f t="shared" si="17"/>
        <v>80</v>
      </c>
      <c r="P152" s="25">
        <v>4</v>
      </c>
      <c r="Q152" s="33"/>
      <c r="R152" s="23"/>
      <c r="S152" s="28">
        <v>38</v>
      </c>
      <c r="T152" s="34"/>
      <c r="U152" s="34"/>
    </row>
    <row r="153" spans="1:21" s="1" customFormat="1" ht="18.75" customHeight="1">
      <c r="A153" s="11">
        <v>151</v>
      </c>
      <c r="B153" s="42" t="s">
        <v>186</v>
      </c>
      <c r="C153" s="34" t="s">
        <v>155</v>
      </c>
      <c r="D153" s="21"/>
      <c r="E153" s="28"/>
      <c r="F153" s="23"/>
      <c r="G153" s="24">
        <v>8</v>
      </c>
      <c r="H153" s="39"/>
      <c r="I153" s="39"/>
      <c r="J153" s="30">
        <v>6</v>
      </c>
      <c r="K153" s="16">
        <f t="shared" si="14"/>
        <v>48</v>
      </c>
      <c r="L153" s="17"/>
      <c r="M153" s="16"/>
      <c r="N153" s="16"/>
      <c r="O153" s="16">
        <f t="shared" si="17"/>
        <v>48</v>
      </c>
      <c r="P153" s="25"/>
      <c r="Q153" s="33"/>
      <c r="R153" s="23"/>
      <c r="S153" s="28"/>
      <c r="T153" s="34"/>
      <c r="U153" s="34"/>
    </row>
    <row r="154" spans="1:21" s="1" customFormat="1" ht="18.75" customHeight="1">
      <c r="A154" s="11">
        <v>152</v>
      </c>
      <c r="B154" s="42" t="s">
        <v>187</v>
      </c>
      <c r="C154" s="34" t="s">
        <v>155</v>
      </c>
      <c r="D154" s="21"/>
      <c r="E154" s="28"/>
      <c r="F154" s="23"/>
      <c r="G154" s="24">
        <v>8</v>
      </c>
      <c r="H154" s="39"/>
      <c r="I154" s="39"/>
      <c r="J154" s="30">
        <v>12.5</v>
      </c>
      <c r="K154" s="16">
        <f t="shared" si="14"/>
        <v>100</v>
      </c>
      <c r="L154" s="17">
        <v>1</v>
      </c>
      <c r="M154" s="16">
        <f t="shared" si="15"/>
        <v>12</v>
      </c>
      <c r="N154" s="16">
        <f t="shared" si="16"/>
        <v>4</v>
      </c>
      <c r="O154" s="16">
        <f t="shared" si="17"/>
        <v>116</v>
      </c>
      <c r="P154" s="25"/>
      <c r="Q154" s="33"/>
      <c r="R154" s="23"/>
      <c r="S154" s="28"/>
      <c r="T154" s="34"/>
      <c r="U154" s="34"/>
    </row>
    <row r="155" spans="1:21" s="1" customFormat="1" ht="18.75" customHeight="1">
      <c r="A155" s="11">
        <v>153</v>
      </c>
      <c r="B155" s="42" t="s">
        <v>188</v>
      </c>
      <c r="C155" s="34" t="s">
        <v>155</v>
      </c>
      <c r="D155" s="21"/>
      <c r="E155" s="28"/>
      <c r="F155" s="23"/>
      <c r="G155" s="24">
        <v>4</v>
      </c>
      <c r="H155" s="39"/>
      <c r="I155" s="39"/>
      <c r="J155" s="30"/>
      <c r="K155" s="16"/>
      <c r="L155" s="17"/>
      <c r="M155" s="16"/>
      <c r="N155" s="16"/>
      <c r="O155" s="16"/>
      <c r="P155" s="25"/>
      <c r="Q155" s="33"/>
      <c r="R155" s="23"/>
      <c r="S155" s="28"/>
      <c r="T155" s="34"/>
      <c r="U155" s="34"/>
    </row>
    <row r="156" spans="1:21" s="1" customFormat="1" ht="18.75" customHeight="1">
      <c r="A156" s="11">
        <v>154</v>
      </c>
      <c r="B156" s="42" t="s">
        <v>189</v>
      </c>
      <c r="C156" s="34" t="s">
        <v>155</v>
      </c>
      <c r="D156" s="21"/>
      <c r="E156" s="28"/>
      <c r="F156" s="23"/>
      <c r="G156" s="24"/>
      <c r="H156" s="39"/>
      <c r="I156" s="39"/>
      <c r="J156" s="30">
        <v>8.5</v>
      </c>
      <c r="K156" s="16">
        <f t="shared" si="14"/>
        <v>68</v>
      </c>
      <c r="L156" s="17">
        <v>1</v>
      </c>
      <c r="M156" s="16">
        <f t="shared" si="15"/>
        <v>12</v>
      </c>
      <c r="N156" s="16">
        <f t="shared" si="16"/>
        <v>4</v>
      </c>
      <c r="O156" s="16">
        <f t="shared" si="17"/>
        <v>84</v>
      </c>
      <c r="P156" s="25"/>
      <c r="Q156" s="33"/>
      <c r="R156" s="23"/>
      <c r="S156" s="28"/>
      <c r="T156" s="34"/>
      <c r="U156" s="34"/>
    </row>
    <row r="157" spans="1:21" s="1" customFormat="1" ht="18.75" customHeight="1">
      <c r="A157" s="11">
        <v>155</v>
      </c>
      <c r="B157" s="42" t="s">
        <v>190</v>
      </c>
      <c r="C157" s="34" t="s">
        <v>155</v>
      </c>
      <c r="D157" s="21"/>
      <c r="E157" s="28"/>
      <c r="F157" s="23"/>
      <c r="G157" s="24">
        <v>8</v>
      </c>
      <c r="H157" s="39"/>
      <c r="I157" s="39"/>
      <c r="J157" s="30"/>
      <c r="K157" s="16"/>
      <c r="L157" s="17"/>
      <c r="M157" s="16"/>
      <c r="N157" s="16"/>
      <c r="O157" s="16"/>
      <c r="P157" s="25"/>
      <c r="Q157" s="33">
        <v>30</v>
      </c>
      <c r="R157" s="23"/>
      <c r="S157" s="28">
        <v>20</v>
      </c>
      <c r="T157" s="34"/>
      <c r="U157" s="34"/>
    </row>
    <row r="158" spans="1:21" s="1" customFormat="1" ht="18.75" customHeight="1">
      <c r="A158" s="11">
        <v>156</v>
      </c>
      <c r="B158" s="45" t="s">
        <v>193</v>
      </c>
      <c r="C158" s="34" t="s">
        <v>155</v>
      </c>
      <c r="D158" s="79"/>
      <c r="E158" s="28"/>
      <c r="F158" s="23"/>
      <c r="G158" s="24">
        <v>8</v>
      </c>
      <c r="H158" s="39"/>
      <c r="I158" s="39"/>
      <c r="J158" s="30">
        <v>0.5</v>
      </c>
      <c r="K158" s="16">
        <f t="shared" si="14"/>
        <v>4</v>
      </c>
      <c r="L158" s="17">
        <v>1</v>
      </c>
      <c r="M158" s="16">
        <f t="shared" si="15"/>
        <v>12</v>
      </c>
      <c r="N158" s="16">
        <f t="shared" si="16"/>
        <v>4</v>
      </c>
      <c r="O158" s="16">
        <f t="shared" si="17"/>
        <v>20</v>
      </c>
      <c r="P158" s="25"/>
      <c r="Q158" s="33">
        <v>8</v>
      </c>
      <c r="R158" s="23">
        <v>45</v>
      </c>
      <c r="S158" s="28"/>
      <c r="T158" s="34"/>
      <c r="U158" s="34"/>
    </row>
    <row r="159" spans="1:21" s="1" customFormat="1" ht="18.75" customHeight="1">
      <c r="A159" s="11">
        <v>157</v>
      </c>
      <c r="B159" s="45" t="s">
        <v>448</v>
      </c>
      <c r="C159" s="34" t="s">
        <v>155</v>
      </c>
      <c r="D159" s="79"/>
      <c r="E159" s="28"/>
      <c r="F159" s="23"/>
      <c r="G159" s="24"/>
      <c r="H159" s="39"/>
      <c r="I159" s="39"/>
      <c r="J159" s="30">
        <v>9</v>
      </c>
      <c r="K159" s="16">
        <f t="shared" si="14"/>
        <v>72</v>
      </c>
      <c r="L159" s="17">
        <v>2</v>
      </c>
      <c r="M159" s="16">
        <f t="shared" si="15"/>
        <v>24</v>
      </c>
      <c r="N159" s="16">
        <f t="shared" si="16"/>
        <v>8</v>
      </c>
      <c r="O159" s="16">
        <f t="shared" si="17"/>
        <v>104</v>
      </c>
      <c r="P159" s="25"/>
      <c r="Q159" s="33"/>
      <c r="R159" s="23"/>
      <c r="S159" s="28"/>
      <c r="T159" s="34"/>
      <c r="U159" s="34"/>
    </row>
    <row r="160" spans="1:21" ht="18.75" customHeight="1">
      <c r="A160" s="11">
        <v>158</v>
      </c>
      <c r="B160" s="41" t="s">
        <v>194</v>
      </c>
      <c r="C160" s="34" t="s">
        <v>195</v>
      </c>
      <c r="D160" s="36" t="s">
        <v>478</v>
      </c>
      <c r="E160" s="28"/>
      <c r="F160" s="23"/>
      <c r="G160" s="24"/>
      <c r="H160" s="39"/>
      <c r="I160" s="39"/>
      <c r="J160" s="30"/>
      <c r="K160" s="16"/>
      <c r="L160" s="17"/>
      <c r="M160" s="16"/>
      <c r="N160" s="16"/>
      <c r="O160" s="16"/>
      <c r="P160" s="25"/>
      <c r="Q160" s="33"/>
      <c r="R160" s="23"/>
      <c r="S160" s="28"/>
      <c r="T160" s="34"/>
      <c r="U160" s="34"/>
    </row>
    <row r="161" spans="1:21" ht="18.75" customHeight="1">
      <c r="A161" s="11">
        <v>159</v>
      </c>
      <c r="B161" s="41" t="s">
        <v>196</v>
      </c>
      <c r="C161" s="34" t="s">
        <v>195</v>
      </c>
      <c r="D161" s="36"/>
      <c r="E161" s="28"/>
      <c r="F161" s="23"/>
      <c r="G161" s="24"/>
      <c r="H161" s="39"/>
      <c r="I161" s="39"/>
      <c r="J161" s="30">
        <v>7</v>
      </c>
      <c r="K161" s="16">
        <f t="shared" si="14"/>
        <v>56</v>
      </c>
      <c r="L161" s="17"/>
      <c r="M161" s="16"/>
      <c r="N161" s="16"/>
      <c r="O161" s="16">
        <f t="shared" si="17"/>
        <v>56</v>
      </c>
      <c r="P161" s="25"/>
      <c r="Q161" s="33">
        <v>36</v>
      </c>
      <c r="R161" s="23"/>
      <c r="S161" s="28"/>
      <c r="T161" s="34"/>
      <c r="U161" s="34"/>
    </row>
    <row r="162" spans="1:21" ht="18.75" customHeight="1">
      <c r="A162" s="11">
        <v>160</v>
      </c>
      <c r="B162" s="41" t="s">
        <v>197</v>
      </c>
      <c r="C162" s="34" t="s">
        <v>195</v>
      </c>
      <c r="D162" s="36"/>
      <c r="E162" s="28"/>
      <c r="F162" s="23"/>
      <c r="G162" s="24">
        <v>4</v>
      </c>
      <c r="H162" s="39"/>
      <c r="I162" s="39"/>
      <c r="J162" s="30">
        <v>2</v>
      </c>
      <c r="K162" s="16">
        <f t="shared" si="14"/>
        <v>16</v>
      </c>
      <c r="L162" s="17"/>
      <c r="M162" s="16"/>
      <c r="N162" s="16"/>
      <c r="O162" s="16">
        <f t="shared" si="17"/>
        <v>16</v>
      </c>
      <c r="P162" s="25"/>
      <c r="Q162" s="33">
        <v>8</v>
      </c>
      <c r="R162" s="23"/>
      <c r="S162" s="28"/>
      <c r="T162" s="34"/>
      <c r="U162" s="34"/>
    </row>
    <row r="163" spans="1:21" ht="18.75" customHeight="1">
      <c r="A163" s="11">
        <v>161</v>
      </c>
      <c r="B163" s="41" t="s">
        <v>198</v>
      </c>
      <c r="C163" s="34" t="s">
        <v>195</v>
      </c>
      <c r="D163" s="36"/>
      <c r="E163" s="28"/>
      <c r="F163" s="23"/>
      <c r="G163" s="24">
        <v>8</v>
      </c>
      <c r="H163" s="39"/>
      <c r="I163" s="39"/>
      <c r="J163" s="30">
        <v>1</v>
      </c>
      <c r="K163" s="16">
        <f t="shared" si="14"/>
        <v>8</v>
      </c>
      <c r="L163" s="17"/>
      <c r="M163" s="16"/>
      <c r="N163" s="16"/>
      <c r="O163" s="16">
        <f t="shared" si="17"/>
        <v>8</v>
      </c>
      <c r="P163" s="25"/>
      <c r="Q163" s="33"/>
      <c r="R163" s="23"/>
      <c r="S163" s="28"/>
      <c r="T163" s="34"/>
      <c r="U163" s="34"/>
    </row>
    <row r="164" spans="1:21" ht="18.75" customHeight="1">
      <c r="A164" s="11">
        <v>162</v>
      </c>
      <c r="B164" s="41" t="s">
        <v>199</v>
      </c>
      <c r="C164" s="34" t="s">
        <v>195</v>
      </c>
      <c r="D164" s="36"/>
      <c r="E164" s="28"/>
      <c r="F164" s="23"/>
      <c r="G164" s="24">
        <v>40</v>
      </c>
      <c r="H164" s="39"/>
      <c r="I164" s="39"/>
      <c r="J164" s="30"/>
      <c r="K164" s="16"/>
      <c r="L164" s="17"/>
      <c r="M164" s="16"/>
      <c r="N164" s="16"/>
      <c r="O164" s="16"/>
      <c r="P164" s="25"/>
      <c r="Q164" s="33"/>
      <c r="R164" s="23"/>
      <c r="S164" s="28"/>
      <c r="T164" s="34"/>
      <c r="U164" s="34"/>
    </row>
    <row r="165" spans="1:21" ht="18.75" customHeight="1">
      <c r="A165" s="11">
        <v>163</v>
      </c>
      <c r="B165" s="41" t="s">
        <v>200</v>
      </c>
      <c r="C165" s="34" t="s">
        <v>195</v>
      </c>
      <c r="D165" s="36" t="s">
        <v>479</v>
      </c>
      <c r="E165" s="28"/>
      <c r="F165" s="23"/>
      <c r="G165" s="24">
        <v>20</v>
      </c>
      <c r="H165" s="39"/>
      <c r="I165" s="39"/>
      <c r="J165" s="30">
        <v>3</v>
      </c>
      <c r="K165" s="16">
        <f t="shared" si="14"/>
        <v>24</v>
      </c>
      <c r="L165" s="17"/>
      <c r="M165" s="16"/>
      <c r="N165" s="16"/>
      <c r="O165" s="16">
        <f t="shared" si="17"/>
        <v>24</v>
      </c>
      <c r="P165" s="25"/>
      <c r="Q165" s="33"/>
      <c r="R165" s="23"/>
      <c r="S165" s="28"/>
      <c r="T165" s="34"/>
      <c r="U165" s="34"/>
    </row>
    <row r="166" spans="1:21" ht="18.75" customHeight="1">
      <c r="A166" s="11">
        <v>164</v>
      </c>
      <c r="B166" s="41" t="s">
        <v>201</v>
      </c>
      <c r="C166" s="34" t="s">
        <v>202</v>
      </c>
      <c r="D166" s="36"/>
      <c r="E166" s="28"/>
      <c r="F166" s="23"/>
      <c r="G166" s="24"/>
      <c r="H166" s="39"/>
      <c r="I166" s="39"/>
      <c r="J166" s="30"/>
      <c r="K166" s="16"/>
      <c r="L166" s="17"/>
      <c r="M166" s="16"/>
      <c r="N166" s="16"/>
      <c r="O166" s="16"/>
      <c r="P166" s="25"/>
      <c r="Q166" s="33">
        <v>36</v>
      </c>
      <c r="R166" s="23"/>
      <c r="S166" s="28"/>
      <c r="T166" s="34"/>
      <c r="U166" s="34"/>
    </row>
    <row r="167" spans="1:21" ht="18.75" customHeight="1">
      <c r="A167" s="11">
        <v>165</v>
      </c>
      <c r="B167" s="41" t="s">
        <v>203</v>
      </c>
      <c r="C167" s="34" t="s">
        <v>202</v>
      </c>
      <c r="D167" s="36"/>
      <c r="E167" s="28"/>
      <c r="F167" s="23"/>
      <c r="G167" s="24"/>
      <c r="H167" s="39"/>
      <c r="I167" s="39"/>
      <c r="J167" s="30">
        <v>15</v>
      </c>
      <c r="K167" s="16">
        <f t="shared" si="14"/>
        <v>120</v>
      </c>
      <c r="L167" s="17"/>
      <c r="M167" s="16"/>
      <c r="N167" s="16"/>
      <c r="O167" s="16">
        <f t="shared" si="17"/>
        <v>120</v>
      </c>
      <c r="P167" s="25"/>
      <c r="Q167" s="33">
        <v>36</v>
      </c>
      <c r="R167" s="23"/>
      <c r="S167" s="28"/>
      <c r="T167" s="34"/>
      <c r="U167" s="34"/>
    </row>
    <row r="168" spans="1:21" ht="18.75" customHeight="1">
      <c r="A168" s="11">
        <v>166</v>
      </c>
      <c r="B168" s="41" t="s">
        <v>204</v>
      </c>
      <c r="C168" s="34" t="s">
        <v>205</v>
      </c>
      <c r="D168" s="36"/>
      <c r="E168" s="28"/>
      <c r="F168" s="23"/>
      <c r="G168" s="24">
        <v>16</v>
      </c>
      <c r="H168" s="39"/>
      <c r="I168" s="39"/>
      <c r="J168" s="30">
        <v>4</v>
      </c>
      <c r="K168" s="16">
        <f t="shared" si="14"/>
        <v>32</v>
      </c>
      <c r="L168" s="17"/>
      <c r="M168" s="16"/>
      <c r="N168" s="16"/>
      <c r="O168" s="16">
        <f t="shared" si="17"/>
        <v>32</v>
      </c>
      <c r="P168" s="25"/>
      <c r="Q168" s="33"/>
      <c r="R168" s="23"/>
      <c r="S168" s="28"/>
      <c r="T168" s="34"/>
      <c r="U168" s="34"/>
    </row>
    <row r="169" spans="1:21" ht="18.75" customHeight="1">
      <c r="A169" s="11">
        <v>167</v>
      </c>
      <c r="B169" s="41" t="s">
        <v>206</v>
      </c>
      <c r="C169" s="34" t="s">
        <v>205</v>
      </c>
      <c r="D169" s="36"/>
      <c r="E169" s="28"/>
      <c r="F169" s="23"/>
      <c r="G169" s="24">
        <v>27</v>
      </c>
      <c r="H169" s="39"/>
      <c r="I169" s="39"/>
      <c r="J169" s="30">
        <v>5</v>
      </c>
      <c r="K169" s="16">
        <f t="shared" si="14"/>
        <v>40</v>
      </c>
      <c r="L169" s="17"/>
      <c r="M169" s="16"/>
      <c r="N169" s="16"/>
      <c r="O169" s="16">
        <f t="shared" si="17"/>
        <v>40</v>
      </c>
      <c r="P169" s="25"/>
      <c r="Q169" s="33"/>
      <c r="R169" s="23"/>
      <c r="S169" s="28"/>
      <c r="T169" s="34"/>
      <c r="U169" s="34"/>
    </row>
    <row r="170" spans="1:21" ht="18.75" customHeight="1">
      <c r="A170" s="11">
        <v>168</v>
      </c>
      <c r="B170" s="41" t="s">
        <v>207</v>
      </c>
      <c r="C170" s="34" t="s">
        <v>205</v>
      </c>
      <c r="D170" s="36"/>
      <c r="E170" s="28"/>
      <c r="F170" s="23"/>
      <c r="G170" s="24">
        <v>8</v>
      </c>
      <c r="H170" s="39"/>
      <c r="I170" s="39"/>
      <c r="J170" s="30"/>
      <c r="K170" s="16"/>
      <c r="L170" s="17"/>
      <c r="M170" s="16"/>
      <c r="N170" s="16"/>
      <c r="O170" s="16"/>
      <c r="P170" s="25"/>
      <c r="Q170" s="33"/>
      <c r="R170" s="23"/>
      <c r="S170" s="28"/>
      <c r="T170" s="34"/>
      <c r="U170" s="34"/>
    </row>
    <row r="171" spans="1:21" ht="18.75" customHeight="1">
      <c r="A171" s="11">
        <v>169</v>
      </c>
      <c r="B171" s="48" t="s">
        <v>208</v>
      </c>
      <c r="C171" s="19" t="s">
        <v>205</v>
      </c>
      <c r="D171" s="36" t="s">
        <v>479</v>
      </c>
      <c r="E171" s="28"/>
      <c r="F171" s="23"/>
      <c r="G171" s="25">
        <v>16</v>
      </c>
      <c r="H171" s="23"/>
      <c r="I171" s="23"/>
      <c r="J171" s="30">
        <v>4</v>
      </c>
      <c r="K171" s="16">
        <f t="shared" si="14"/>
        <v>32</v>
      </c>
      <c r="L171" s="17"/>
      <c r="M171" s="16"/>
      <c r="N171" s="16"/>
      <c r="O171" s="16">
        <f t="shared" si="17"/>
        <v>32</v>
      </c>
      <c r="P171" s="25"/>
      <c r="Q171" s="33"/>
      <c r="R171" s="23"/>
      <c r="S171" s="28"/>
      <c r="T171" s="34"/>
      <c r="U171" s="34"/>
    </row>
    <row r="172" spans="1:21" ht="18.75" customHeight="1">
      <c r="A172" s="11">
        <v>170</v>
      </c>
      <c r="B172" s="48" t="s">
        <v>209</v>
      </c>
      <c r="C172" s="19" t="s">
        <v>205</v>
      </c>
      <c r="D172" s="36"/>
      <c r="E172" s="28"/>
      <c r="F172" s="23"/>
      <c r="G172" s="25">
        <v>112</v>
      </c>
      <c r="H172" s="23"/>
      <c r="I172" s="23"/>
      <c r="J172" s="30">
        <v>2</v>
      </c>
      <c r="K172" s="16">
        <f t="shared" si="14"/>
        <v>16</v>
      </c>
      <c r="L172" s="17"/>
      <c r="M172" s="16"/>
      <c r="N172" s="16"/>
      <c r="O172" s="16">
        <f t="shared" si="17"/>
        <v>16</v>
      </c>
      <c r="P172" s="25"/>
      <c r="Q172" s="33"/>
      <c r="R172" s="23"/>
      <c r="S172" s="28"/>
      <c r="T172" s="34"/>
      <c r="U172" s="34"/>
    </row>
    <row r="173" spans="1:21" ht="18.75" customHeight="1">
      <c r="A173" s="11">
        <v>171</v>
      </c>
      <c r="B173" s="48" t="s">
        <v>210</v>
      </c>
      <c r="C173" s="19" t="s">
        <v>205</v>
      </c>
      <c r="D173" s="36" t="s">
        <v>483</v>
      </c>
      <c r="E173" s="28"/>
      <c r="F173" s="23"/>
      <c r="G173" s="25"/>
      <c r="H173" s="23"/>
      <c r="I173" s="23"/>
      <c r="J173" s="30">
        <v>2</v>
      </c>
      <c r="K173" s="16">
        <f t="shared" si="14"/>
        <v>16</v>
      </c>
      <c r="L173" s="17"/>
      <c r="M173" s="16"/>
      <c r="N173" s="16"/>
      <c r="O173" s="16">
        <f t="shared" si="17"/>
        <v>16</v>
      </c>
      <c r="P173" s="25"/>
      <c r="Q173" s="33"/>
      <c r="R173" s="23"/>
      <c r="S173" s="28"/>
      <c r="T173" s="34"/>
      <c r="U173" s="34"/>
    </row>
    <row r="174" spans="1:21" ht="18.75" customHeight="1">
      <c r="A174" s="11">
        <v>172</v>
      </c>
      <c r="B174" s="42" t="s">
        <v>211</v>
      </c>
      <c r="C174" s="19" t="s">
        <v>205</v>
      </c>
      <c r="D174" s="12" t="s">
        <v>476</v>
      </c>
      <c r="E174" s="27"/>
      <c r="F174" s="23"/>
      <c r="G174" s="81"/>
      <c r="H174" s="23"/>
      <c r="I174" s="23"/>
      <c r="J174" s="30"/>
      <c r="K174" s="16"/>
      <c r="L174" s="17"/>
      <c r="M174" s="16"/>
      <c r="N174" s="16"/>
      <c r="O174" s="16"/>
      <c r="P174" s="25"/>
      <c r="Q174" s="33"/>
      <c r="R174" s="23"/>
      <c r="S174" s="28"/>
      <c r="T174" s="34"/>
      <c r="U174" s="34"/>
    </row>
    <row r="175" spans="1:21" ht="18.75" customHeight="1">
      <c r="A175" s="11">
        <v>173</v>
      </c>
      <c r="B175" s="42" t="s">
        <v>212</v>
      </c>
      <c r="C175" s="19" t="s">
        <v>205</v>
      </c>
      <c r="D175" s="12" t="s">
        <v>477</v>
      </c>
      <c r="E175" s="28"/>
      <c r="F175" s="23"/>
      <c r="G175" s="25"/>
      <c r="H175" s="23"/>
      <c r="I175" s="23"/>
      <c r="J175" s="30"/>
      <c r="K175" s="16"/>
      <c r="L175" s="17"/>
      <c r="M175" s="16"/>
      <c r="N175" s="16"/>
      <c r="O175" s="16"/>
      <c r="P175" s="25"/>
      <c r="Q175" s="33"/>
      <c r="R175" s="23"/>
      <c r="S175" s="28"/>
      <c r="T175" s="34"/>
      <c r="U175" s="34"/>
    </row>
    <row r="176" spans="1:21" ht="18.75" customHeight="1">
      <c r="A176" s="11">
        <v>174</v>
      </c>
      <c r="B176" s="42" t="s">
        <v>213</v>
      </c>
      <c r="C176" s="19" t="s">
        <v>205</v>
      </c>
      <c r="D176" s="12"/>
      <c r="E176" s="28"/>
      <c r="F176" s="23"/>
      <c r="G176" s="25">
        <v>20</v>
      </c>
      <c r="H176" s="23"/>
      <c r="I176" s="23"/>
      <c r="J176" s="30">
        <v>10</v>
      </c>
      <c r="K176" s="16">
        <f t="shared" si="14"/>
        <v>80</v>
      </c>
      <c r="L176" s="17"/>
      <c r="M176" s="16"/>
      <c r="N176" s="16"/>
      <c r="O176" s="16">
        <f t="shared" si="17"/>
        <v>80</v>
      </c>
      <c r="P176" s="25"/>
      <c r="Q176" s="33"/>
      <c r="R176" s="23"/>
      <c r="S176" s="28"/>
      <c r="T176" s="34"/>
      <c r="U176" s="34"/>
    </row>
    <row r="177" spans="1:21" ht="18.75" customHeight="1">
      <c r="A177" s="11">
        <v>175</v>
      </c>
      <c r="B177" s="42" t="s">
        <v>214</v>
      </c>
      <c r="C177" s="19" t="s">
        <v>205</v>
      </c>
      <c r="D177" s="12"/>
      <c r="E177" s="28"/>
      <c r="F177" s="23"/>
      <c r="G177" s="25"/>
      <c r="H177" s="23"/>
      <c r="I177" s="23"/>
      <c r="J177" s="30">
        <v>7</v>
      </c>
      <c r="K177" s="16">
        <f t="shared" si="14"/>
        <v>56</v>
      </c>
      <c r="L177" s="17"/>
      <c r="M177" s="16"/>
      <c r="N177" s="16"/>
      <c r="O177" s="16">
        <f t="shared" si="17"/>
        <v>56</v>
      </c>
      <c r="P177" s="25"/>
      <c r="Q177" s="33"/>
      <c r="R177" s="23"/>
      <c r="S177" s="28"/>
      <c r="T177" s="34"/>
      <c r="U177" s="34"/>
    </row>
    <row r="178" spans="1:21" ht="18.75" customHeight="1">
      <c r="A178" s="11">
        <v>176</v>
      </c>
      <c r="B178" s="42" t="s">
        <v>215</v>
      </c>
      <c r="C178" s="19" t="s">
        <v>205</v>
      </c>
      <c r="D178" s="12"/>
      <c r="E178" s="28"/>
      <c r="F178" s="23"/>
      <c r="G178" s="25">
        <v>1</v>
      </c>
      <c r="H178" s="23"/>
      <c r="I178" s="23"/>
      <c r="J178" s="30"/>
      <c r="K178" s="16"/>
      <c r="L178" s="17"/>
      <c r="M178" s="16"/>
      <c r="N178" s="16"/>
      <c r="O178" s="16"/>
      <c r="P178" s="25"/>
      <c r="Q178" s="33"/>
      <c r="R178" s="23"/>
      <c r="S178" s="28"/>
      <c r="T178" s="34"/>
      <c r="U178" s="34"/>
    </row>
    <row r="179" spans="1:21" ht="18.75" customHeight="1">
      <c r="A179" s="11">
        <v>177</v>
      </c>
      <c r="B179" s="42" t="s">
        <v>216</v>
      </c>
      <c r="C179" s="19" t="s">
        <v>205</v>
      </c>
      <c r="D179" s="12"/>
      <c r="E179" s="28"/>
      <c r="F179" s="23"/>
      <c r="G179" s="25">
        <v>27.5</v>
      </c>
      <c r="H179" s="23"/>
      <c r="I179" s="23"/>
      <c r="J179" s="30">
        <v>11</v>
      </c>
      <c r="K179" s="16">
        <f t="shared" si="14"/>
        <v>88</v>
      </c>
      <c r="L179" s="17"/>
      <c r="M179" s="16"/>
      <c r="N179" s="16"/>
      <c r="O179" s="16">
        <f t="shared" si="17"/>
        <v>88</v>
      </c>
      <c r="P179" s="25"/>
      <c r="Q179" s="33">
        <v>16</v>
      </c>
      <c r="R179" s="23"/>
      <c r="S179" s="28"/>
      <c r="T179" s="34"/>
      <c r="U179" s="34"/>
    </row>
    <row r="180" spans="1:21" ht="18.75" customHeight="1">
      <c r="A180" s="11">
        <v>178</v>
      </c>
      <c r="B180" s="19" t="s">
        <v>217</v>
      </c>
      <c r="C180" s="19" t="s">
        <v>205</v>
      </c>
      <c r="D180" s="21"/>
      <c r="E180" s="28"/>
      <c r="F180" s="23"/>
      <c r="G180" s="25">
        <v>16</v>
      </c>
      <c r="H180" s="23"/>
      <c r="I180" s="23"/>
      <c r="J180" s="30">
        <v>9</v>
      </c>
      <c r="K180" s="16">
        <f t="shared" si="14"/>
        <v>72</v>
      </c>
      <c r="L180" s="17"/>
      <c r="M180" s="16"/>
      <c r="N180" s="16"/>
      <c r="O180" s="16">
        <f t="shared" si="17"/>
        <v>72</v>
      </c>
      <c r="P180" s="25"/>
      <c r="Q180" s="33"/>
      <c r="R180" s="23"/>
      <c r="S180" s="28"/>
      <c r="T180" s="34"/>
      <c r="U180" s="34"/>
    </row>
    <row r="181" spans="1:21" ht="18.75" customHeight="1">
      <c r="A181" s="11">
        <v>179</v>
      </c>
      <c r="B181" s="19" t="s">
        <v>218</v>
      </c>
      <c r="C181" s="19" t="s">
        <v>205</v>
      </c>
      <c r="D181" s="21"/>
      <c r="E181" s="28"/>
      <c r="F181" s="23"/>
      <c r="G181" s="25">
        <v>8</v>
      </c>
      <c r="H181" s="23"/>
      <c r="I181" s="23"/>
      <c r="J181" s="30">
        <v>4</v>
      </c>
      <c r="K181" s="16">
        <f t="shared" si="14"/>
        <v>32</v>
      </c>
      <c r="L181" s="17"/>
      <c r="M181" s="16"/>
      <c r="N181" s="16"/>
      <c r="O181" s="16">
        <f t="shared" si="17"/>
        <v>32</v>
      </c>
      <c r="P181" s="25"/>
      <c r="Q181" s="33">
        <v>36</v>
      </c>
      <c r="R181" s="23"/>
      <c r="S181" s="28"/>
      <c r="T181" s="34"/>
      <c r="U181" s="34"/>
    </row>
    <row r="182" spans="1:21" ht="18.75" customHeight="1">
      <c r="A182" s="11">
        <v>180</v>
      </c>
      <c r="B182" s="19" t="s">
        <v>219</v>
      </c>
      <c r="C182" s="19" t="s">
        <v>205</v>
      </c>
      <c r="D182" s="21"/>
      <c r="E182" s="28"/>
      <c r="F182" s="23"/>
      <c r="G182" s="25"/>
      <c r="H182" s="23"/>
      <c r="I182" s="23"/>
      <c r="J182" s="30">
        <v>1</v>
      </c>
      <c r="K182" s="16">
        <f t="shared" si="14"/>
        <v>8</v>
      </c>
      <c r="L182" s="17"/>
      <c r="M182" s="16"/>
      <c r="N182" s="16"/>
      <c r="O182" s="16">
        <f t="shared" si="17"/>
        <v>8</v>
      </c>
      <c r="P182" s="25"/>
      <c r="Q182" s="33"/>
      <c r="R182" s="23"/>
      <c r="S182" s="28"/>
      <c r="T182" s="34"/>
      <c r="U182" s="34"/>
    </row>
    <row r="183" spans="1:21" ht="18.75" customHeight="1">
      <c r="A183" s="11">
        <v>181</v>
      </c>
      <c r="B183" s="19" t="s">
        <v>220</v>
      </c>
      <c r="C183" s="19" t="s">
        <v>205</v>
      </c>
      <c r="D183" s="21"/>
      <c r="E183" s="28"/>
      <c r="F183" s="23"/>
      <c r="G183" s="25">
        <v>16</v>
      </c>
      <c r="H183" s="23"/>
      <c r="I183" s="23"/>
      <c r="J183" s="30">
        <v>9</v>
      </c>
      <c r="K183" s="16">
        <f t="shared" si="14"/>
        <v>72</v>
      </c>
      <c r="L183" s="17"/>
      <c r="M183" s="16"/>
      <c r="N183" s="16"/>
      <c r="O183" s="16">
        <f t="shared" si="17"/>
        <v>72</v>
      </c>
      <c r="P183" s="25"/>
      <c r="Q183" s="33"/>
      <c r="R183" s="23"/>
      <c r="S183" s="28"/>
      <c r="T183" s="34"/>
      <c r="U183" s="34"/>
    </row>
    <row r="184" spans="1:21" ht="18.75" customHeight="1">
      <c r="A184" s="11">
        <v>182</v>
      </c>
      <c r="B184" s="19" t="s">
        <v>221</v>
      </c>
      <c r="C184" s="19" t="s">
        <v>205</v>
      </c>
      <c r="D184" s="21"/>
      <c r="E184" s="28"/>
      <c r="F184" s="23"/>
      <c r="G184" s="25">
        <v>40</v>
      </c>
      <c r="H184" s="23"/>
      <c r="I184" s="23"/>
      <c r="J184" s="30">
        <v>4</v>
      </c>
      <c r="K184" s="16">
        <f t="shared" si="14"/>
        <v>32</v>
      </c>
      <c r="L184" s="17"/>
      <c r="M184" s="16"/>
      <c r="N184" s="16"/>
      <c r="O184" s="16">
        <f t="shared" si="17"/>
        <v>32</v>
      </c>
      <c r="P184" s="25"/>
      <c r="Q184" s="33"/>
      <c r="R184" s="23"/>
      <c r="S184" s="28"/>
      <c r="T184" s="34"/>
      <c r="U184" s="34"/>
    </row>
    <row r="185" spans="1:21" ht="18.75" customHeight="1">
      <c r="A185" s="11">
        <v>183</v>
      </c>
      <c r="B185" s="19" t="s">
        <v>222</v>
      </c>
      <c r="C185" s="19" t="s">
        <v>205</v>
      </c>
      <c r="D185" s="36" t="s">
        <v>478</v>
      </c>
      <c r="E185" s="28"/>
      <c r="F185" s="23"/>
      <c r="G185" s="25">
        <v>4</v>
      </c>
      <c r="H185" s="23"/>
      <c r="I185" s="23"/>
      <c r="J185" s="30">
        <v>1</v>
      </c>
      <c r="K185" s="16">
        <f t="shared" si="14"/>
        <v>8</v>
      </c>
      <c r="L185" s="17"/>
      <c r="M185" s="16"/>
      <c r="N185" s="16"/>
      <c r="O185" s="16">
        <f t="shared" si="17"/>
        <v>8</v>
      </c>
      <c r="P185" s="25"/>
      <c r="Q185" s="33"/>
      <c r="R185" s="23"/>
      <c r="S185" s="28"/>
      <c r="T185" s="34"/>
      <c r="U185" s="34"/>
    </row>
    <row r="186" spans="1:21" ht="18.75" customHeight="1">
      <c r="A186" s="11">
        <v>184</v>
      </c>
      <c r="B186" s="11" t="s">
        <v>223</v>
      </c>
      <c r="C186" s="19" t="s">
        <v>205</v>
      </c>
      <c r="D186" s="12" t="s">
        <v>487</v>
      </c>
      <c r="E186" s="13"/>
      <c r="F186" s="23"/>
      <c r="G186" s="14">
        <v>152</v>
      </c>
      <c r="H186" s="13"/>
      <c r="I186" s="13"/>
      <c r="J186" s="30"/>
      <c r="K186" s="16"/>
      <c r="L186" s="17"/>
      <c r="M186" s="16"/>
      <c r="N186" s="16"/>
      <c r="O186" s="16"/>
      <c r="P186" s="25"/>
      <c r="Q186" s="33"/>
      <c r="R186" s="23"/>
      <c r="S186" s="28"/>
      <c r="T186" s="34"/>
      <c r="U186" s="11"/>
    </row>
    <row r="187" spans="1:21" ht="18.75" customHeight="1">
      <c r="A187" s="11">
        <v>185</v>
      </c>
      <c r="B187" s="11" t="s">
        <v>224</v>
      </c>
      <c r="C187" s="19" t="s">
        <v>205</v>
      </c>
      <c r="D187" s="12"/>
      <c r="E187" s="13"/>
      <c r="F187" s="23"/>
      <c r="G187" s="14">
        <v>8</v>
      </c>
      <c r="H187" s="13"/>
      <c r="I187" s="13"/>
      <c r="J187" s="30">
        <v>8</v>
      </c>
      <c r="K187" s="16">
        <f t="shared" si="14"/>
        <v>64</v>
      </c>
      <c r="L187" s="17"/>
      <c r="M187" s="16"/>
      <c r="N187" s="16"/>
      <c r="O187" s="16">
        <f t="shared" si="17"/>
        <v>64</v>
      </c>
      <c r="P187" s="25"/>
      <c r="Q187" s="33"/>
      <c r="R187" s="23"/>
      <c r="S187" s="28"/>
      <c r="T187" s="34"/>
      <c r="U187" s="11"/>
    </row>
    <row r="188" spans="1:21" ht="18.75" customHeight="1">
      <c r="A188" s="11">
        <v>186</v>
      </c>
      <c r="B188" s="19" t="s">
        <v>225</v>
      </c>
      <c r="C188" s="19" t="s">
        <v>205</v>
      </c>
      <c r="D188" s="21"/>
      <c r="E188" s="28"/>
      <c r="F188" s="23"/>
      <c r="G188" s="24"/>
      <c r="H188" s="39"/>
      <c r="I188" s="39"/>
      <c r="J188" s="30">
        <v>2</v>
      </c>
      <c r="K188" s="16">
        <f t="shared" si="14"/>
        <v>16</v>
      </c>
      <c r="L188" s="17"/>
      <c r="M188" s="16"/>
      <c r="N188" s="16"/>
      <c r="O188" s="16">
        <f t="shared" si="17"/>
        <v>16</v>
      </c>
      <c r="P188" s="25"/>
      <c r="Q188" s="33"/>
      <c r="R188" s="23"/>
      <c r="S188" s="28"/>
      <c r="T188" s="34"/>
      <c r="U188" s="34"/>
    </row>
    <row r="189" spans="1:21" ht="18.75" customHeight="1">
      <c r="A189" s="11">
        <v>187</v>
      </c>
      <c r="B189" s="19" t="s">
        <v>226</v>
      </c>
      <c r="C189" s="19" t="s">
        <v>205</v>
      </c>
      <c r="D189" s="21"/>
      <c r="E189" s="91"/>
      <c r="F189" s="17"/>
      <c r="G189" s="24">
        <v>96</v>
      </c>
      <c r="H189" s="91"/>
      <c r="I189" s="91"/>
      <c r="J189" s="30">
        <v>3</v>
      </c>
      <c r="K189" s="16">
        <f t="shared" si="14"/>
        <v>24</v>
      </c>
      <c r="L189" s="17"/>
      <c r="M189" s="16"/>
      <c r="N189" s="16"/>
      <c r="O189" s="16">
        <f t="shared" si="17"/>
        <v>24</v>
      </c>
      <c r="P189" s="25"/>
      <c r="Q189" s="33"/>
      <c r="R189" s="23"/>
      <c r="S189" s="28"/>
      <c r="T189" s="34"/>
      <c r="U189" s="23"/>
    </row>
    <row r="190" spans="1:21" ht="18.75" customHeight="1">
      <c r="A190" s="11">
        <v>188</v>
      </c>
      <c r="B190" s="19" t="s">
        <v>227</v>
      </c>
      <c r="C190" s="19" t="s">
        <v>205</v>
      </c>
      <c r="D190" s="21"/>
      <c r="E190" s="91"/>
      <c r="F190" s="17"/>
      <c r="G190" s="24">
        <v>88</v>
      </c>
      <c r="H190" s="91"/>
      <c r="I190" s="91"/>
      <c r="J190" s="30">
        <v>5</v>
      </c>
      <c r="K190" s="16">
        <f t="shared" si="14"/>
        <v>40</v>
      </c>
      <c r="L190" s="17"/>
      <c r="M190" s="16"/>
      <c r="N190" s="16"/>
      <c r="O190" s="16">
        <f t="shared" si="17"/>
        <v>40</v>
      </c>
      <c r="P190" s="25"/>
      <c r="Q190" s="33"/>
      <c r="R190" s="23"/>
      <c r="S190" s="28"/>
      <c r="T190" s="34"/>
      <c r="U190" s="23"/>
    </row>
    <row r="191" spans="1:21" ht="18.75" customHeight="1">
      <c r="A191" s="11">
        <v>189</v>
      </c>
      <c r="B191" s="19" t="s">
        <v>228</v>
      </c>
      <c r="C191" s="19" t="s">
        <v>205</v>
      </c>
      <c r="D191" s="43"/>
      <c r="E191" s="91"/>
      <c r="F191" s="23"/>
      <c r="G191" s="24">
        <v>16</v>
      </c>
      <c r="H191" s="91"/>
      <c r="I191" s="91"/>
      <c r="J191" s="30">
        <v>9</v>
      </c>
      <c r="K191" s="16">
        <f t="shared" si="14"/>
        <v>72</v>
      </c>
      <c r="L191" s="17"/>
      <c r="M191" s="16"/>
      <c r="N191" s="16"/>
      <c r="O191" s="16">
        <f t="shared" si="17"/>
        <v>72</v>
      </c>
      <c r="P191" s="25"/>
      <c r="Q191" s="33"/>
      <c r="R191" s="23"/>
      <c r="S191" s="28"/>
      <c r="T191" s="34"/>
      <c r="U191" s="23"/>
    </row>
    <row r="192" spans="1:21" ht="18.75" customHeight="1">
      <c r="A192" s="11">
        <v>190</v>
      </c>
      <c r="B192" s="19" t="s">
        <v>229</v>
      </c>
      <c r="C192" s="19" t="s">
        <v>205</v>
      </c>
      <c r="D192" s="43"/>
      <c r="E192" s="91"/>
      <c r="F192" s="23"/>
      <c r="G192" s="24"/>
      <c r="H192" s="91"/>
      <c r="I192" s="91"/>
      <c r="J192" s="30">
        <v>4</v>
      </c>
      <c r="K192" s="16">
        <f t="shared" si="14"/>
        <v>32</v>
      </c>
      <c r="L192" s="17"/>
      <c r="M192" s="16"/>
      <c r="N192" s="16"/>
      <c r="O192" s="16">
        <f t="shared" si="17"/>
        <v>32</v>
      </c>
      <c r="P192" s="25">
        <v>3.5</v>
      </c>
      <c r="Q192" s="33"/>
      <c r="R192" s="23"/>
      <c r="S192" s="28">
        <v>33</v>
      </c>
      <c r="T192" s="34"/>
      <c r="U192" s="23"/>
    </row>
    <row r="193" spans="1:21" ht="18.75" customHeight="1">
      <c r="A193" s="11">
        <v>191</v>
      </c>
      <c r="B193" s="19" t="s">
        <v>230</v>
      </c>
      <c r="C193" s="19" t="s">
        <v>205</v>
      </c>
      <c r="D193" s="43"/>
      <c r="E193" s="91"/>
      <c r="F193" s="23"/>
      <c r="G193" s="24">
        <v>11</v>
      </c>
      <c r="H193" s="91"/>
      <c r="I193" s="91"/>
      <c r="J193" s="30">
        <v>11</v>
      </c>
      <c r="K193" s="16">
        <f t="shared" si="14"/>
        <v>88</v>
      </c>
      <c r="L193" s="17"/>
      <c r="M193" s="16"/>
      <c r="N193" s="16"/>
      <c r="O193" s="16">
        <f t="shared" si="17"/>
        <v>88</v>
      </c>
      <c r="P193" s="25"/>
      <c r="Q193" s="33">
        <v>29</v>
      </c>
      <c r="R193" s="23"/>
      <c r="S193" s="28">
        <v>10</v>
      </c>
      <c r="T193" s="34"/>
      <c r="U193" s="23"/>
    </row>
    <row r="194" spans="1:21" ht="18.75" customHeight="1">
      <c r="A194" s="11">
        <v>192</v>
      </c>
      <c r="B194" s="19" t="s">
        <v>231</v>
      </c>
      <c r="C194" s="19" t="s">
        <v>205</v>
      </c>
      <c r="D194" s="43"/>
      <c r="E194" s="91"/>
      <c r="F194" s="23"/>
      <c r="G194" s="24">
        <v>4</v>
      </c>
      <c r="H194" s="91"/>
      <c r="I194" s="91"/>
      <c r="J194" s="30">
        <v>2</v>
      </c>
      <c r="K194" s="16">
        <f t="shared" si="14"/>
        <v>16</v>
      </c>
      <c r="L194" s="17"/>
      <c r="M194" s="16"/>
      <c r="N194" s="16"/>
      <c r="O194" s="16">
        <f t="shared" si="17"/>
        <v>16</v>
      </c>
      <c r="P194" s="25"/>
      <c r="Q194" s="33">
        <v>30</v>
      </c>
      <c r="R194" s="23"/>
      <c r="S194" s="28">
        <v>10</v>
      </c>
      <c r="T194" s="34"/>
      <c r="U194" s="23"/>
    </row>
    <row r="195" spans="1:21" s="1" customFormat="1" ht="18.75" customHeight="1">
      <c r="A195" s="11">
        <v>193</v>
      </c>
      <c r="B195" s="42" t="s">
        <v>232</v>
      </c>
      <c r="C195" s="19" t="s">
        <v>205</v>
      </c>
      <c r="D195" s="43"/>
      <c r="E195" s="28"/>
      <c r="F195" s="23"/>
      <c r="G195" s="24">
        <v>8</v>
      </c>
      <c r="H195" s="39"/>
      <c r="I195" s="39"/>
      <c r="J195" s="30"/>
      <c r="K195" s="16"/>
      <c r="L195" s="17"/>
      <c r="M195" s="16"/>
      <c r="N195" s="16"/>
      <c r="O195" s="16"/>
      <c r="P195" s="25"/>
      <c r="Q195" s="33"/>
      <c r="R195" s="23"/>
      <c r="S195" s="28"/>
      <c r="T195" s="34"/>
      <c r="U195" s="34"/>
    </row>
    <row r="196" spans="1:21" ht="18.75" customHeight="1">
      <c r="A196" s="11">
        <v>194</v>
      </c>
      <c r="B196" s="42" t="s">
        <v>233</v>
      </c>
      <c r="C196" s="19" t="s">
        <v>205</v>
      </c>
      <c r="D196" s="43"/>
      <c r="E196" s="28"/>
      <c r="F196" s="23"/>
      <c r="G196" s="24"/>
      <c r="H196" s="39"/>
      <c r="I196" s="39"/>
      <c r="J196" s="30">
        <v>2</v>
      </c>
      <c r="K196" s="16">
        <f t="shared" si="14"/>
        <v>16</v>
      </c>
      <c r="L196" s="17"/>
      <c r="M196" s="16"/>
      <c r="N196" s="16"/>
      <c r="O196" s="16">
        <f t="shared" si="17"/>
        <v>16</v>
      </c>
      <c r="P196" s="25"/>
      <c r="Q196" s="33"/>
      <c r="R196" s="23"/>
      <c r="S196" s="28"/>
      <c r="T196" s="34"/>
      <c r="U196" s="34"/>
    </row>
  </sheetData>
  <mergeCells count="1">
    <mergeCell ref="A1:U1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86"/>
  <sheetViews>
    <sheetView workbookViewId="0">
      <pane ySplit="2" topLeftCell="A117" activePane="bottomLeft" state="frozenSplit"/>
      <selection pane="bottomLeft" sqref="A1:XFD1048576"/>
    </sheetView>
  </sheetViews>
  <sheetFormatPr defaultRowHeight="18.75" customHeight="1"/>
  <cols>
    <col min="1" max="1" width="4.375" style="1" customWidth="1"/>
    <col min="2" max="2" width="9.125" style="1" customWidth="1"/>
    <col min="3" max="3" width="11.875" style="70" customWidth="1"/>
    <col min="4" max="5" width="6.75" style="69" customWidth="1"/>
    <col min="6" max="6" width="6.625" style="75" customWidth="1"/>
    <col min="7" max="7" width="5.875" style="69" customWidth="1"/>
    <col min="8" max="8" width="9.25" style="69" customWidth="1"/>
    <col min="9" max="9" width="6.625" style="78" customWidth="1"/>
    <col min="10" max="10" width="9" style="1" customWidth="1"/>
    <col min="11" max="11" width="6.5" style="69" customWidth="1"/>
    <col min="12" max="13" width="9" style="1" customWidth="1"/>
    <col min="14" max="14" width="8" style="1" customWidth="1"/>
    <col min="15" max="16" width="8.625" style="76" customWidth="1"/>
    <col min="17" max="18" width="8.625" style="77" customWidth="1"/>
    <col min="19" max="19" width="8.625" style="69" customWidth="1"/>
    <col min="20" max="16384" width="9" style="1"/>
  </cols>
  <sheetData>
    <row r="1" spans="1:21" ht="30.75" customHeight="1">
      <c r="A1" s="98" t="s">
        <v>465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</row>
    <row r="2" spans="1:21" ht="30.75" customHeight="1">
      <c r="A2" s="34" t="s">
        <v>234</v>
      </c>
      <c r="B2" s="34" t="s">
        <v>1</v>
      </c>
      <c r="C2" s="54" t="s">
        <v>235</v>
      </c>
      <c r="D2" s="4" t="s">
        <v>4</v>
      </c>
      <c r="E2" s="5" t="s">
        <v>5</v>
      </c>
      <c r="F2" s="6" t="s">
        <v>236</v>
      </c>
      <c r="G2" s="4" t="s">
        <v>7</v>
      </c>
      <c r="H2" s="55" t="s">
        <v>8</v>
      </c>
      <c r="I2" s="56" t="s">
        <v>9</v>
      </c>
      <c r="J2" s="16" t="s">
        <v>10</v>
      </c>
      <c r="K2" s="55" t="s">
        <v>11</v>
      </c>
      <c r="L2" s="57" t="s">
        <v>12</v>
      </c>
      <c r="M2" s="57" t="s">
        <v>13</v>
      </c>
      <c r="N2" s="57" t="s">
        <v>14</v>
      </c>
      <c r="O2" s="58" t="s">
        <v>15</v>
      </c>
      <c r="P2" s="58" t="s">
        <v>16</v>
      </c>
      <c r="Q2" s="59" t="s">
        <v>17</v>
      </c>
      <c r="R2" s="59" t="s">
        <v>18</v>
      </c>
      <c r="S2" s="60" t="s">
        <v>19</v>
      </c>
      <c r="T2" s="32" t="s">
        <v>20</v>
      </c>
    </row>
    <row r="3" spans="1:21" ht="18.75" customHeight="1">
      <c r="A3" s="34">
        <v>1</v>
      </c>
      <c r="B3" s="34" t="s">
        <v>237</v>
      </c>
      <c r="C3" s="54"/>
      <c r="D3" s="28"/>
      <c r="E3" s="28"/>
      <c r="F3" s="25"/>
      <c r="G3" s="28"/>
      <c r="H3" s="28"/>
      <c r="I3" s="61"/>
      <c r="J3" s="62"/>
      <c r="K3" s="28"/>
      <c r="L3" s="62"/>
      <c r="M3" s="62"/>
      <c r="N3" s="62"/>
      <c r="O3" s="25"/>
      <c r="P3" s="25"/>
      <c r="Q3" s="23"/>
      <c r="R3" s="23"/>
      <c r="S3" s="23"/>
      <c r="T3" s="32"/>
    </row>
    <row r="4" spans="1:21" ht="18.75" customHeight="1">
      <c r="A4" s="63" t="s">
        <v>238</v>
      </c>
      <c r="B4" s="64"/>
      <c r="C4" s="65"/>
      <c r="D4" s="28"/>
      <c r="E4" s="28"/>
      <c r="F4" s="25"/>
      <c r="G4" s="28"/>
      <c r="H4" s="28"/>
      <c r="I4" s="61"/>
      <c r="J4" s="62"/>
      <c r="K4" s="28"/>
      <c r="L4" s="62"/>
      <c r="M4" s="62"/>
      <c r="N4" s="62"/>
      <c r="O4" s="25"/>
      <c r="P4" s="25"/>
      <c r="Q4" s="23"/>
      <c r="R4" s="23"/>
      <c r="S4" s="23"/>
      <c r="T4" s="32"/>
    </row>
    <row r="5" spans="1:21" ht="18.75" customHeight="1">
      <c r="A5" s="34">
        <v>1</v>
      </c>
      <c r="B5" s="34" t="s">
        <v>239</v>
      </c>
      <c r="C5" s="54">
        <v>2</v>
      </c>
      <c r="D5" s="28"/>
      <c r="E5" s="28"/>
      <c r="F5" s="25"/>
      <c r="G5" s="28"/>
      <c r="H5" s="28"/>
      <c r="I5" s="61"/>
      <c r="J5" s="62"/>
      <c r="K5" s="28"/>
      <c r="L5" s="62"/>
      <c r="M5" s="62"/>
      <c r="N5" s="62"/>
      <c r="O5" s="25"/>
      <c r="P5" s="25"/>
      <c r="Q5" s="23"/>
      <c r="R5" s="23"/>
      <c r="S5" s="23"/>
      <c r="T5" s="32"/>
    </row>
    <row r="6" spans="1:21" ht="18.75" customHeight="1">
      <c r="A6" s="34">
        <v>2</v>
      </c>
      <c r="B6" s="34" t="s">
        <v>240</v>
      </c>
      <c r="C6" s="66"/>
      <c r="D6" s="28"/>
      <c r="E6" s="28"/>
      <c r="F6" s="25"/>
      <c r="G6" s="28"/>
      <c r="H6" s="28"/>
      <c r="I6" s="61"/>
      <c r="J6" s="62"/>
      <c r="K6" s="28"/>
      <c r="L6" s="62"/>
      <c r="M6" s="62"/>
      <c r="N6" s="62"/>
      <c r="O6" s="25"/>
      <c r="P6" s="25"/>
      <c r="Q6" s="23"/>
      <c r="R6" s="23"/>
      <c r="S6" s="23"/>
      <c r="T6" s="32"/>
    </row>
    <row r="7" spans="1:21" ht="18.75" customHeight="1">
      <c r="A7" s="34">
        <v>3</v>
      </c>
      <c r="B7" s="34" t="s">
        <v>241</v>
      </c>
      <c r="C7" s="54"/>
      <c r="D7" s="28"/>
      <c r="E7" s="28"/>
      <c r="F7" s="25"/>
      <c r="G7" s="28"/>
      <c r="H7" s="28"/>
      <c r="I7" s="61"/>
      <c r="J7" s="62"/>
      <c r="K7" s="28"/>
      <c r="L7" s="62"/>
      <c r="M7" s="62"/>
      <c r="N7" s="62"/>
      <c r="O7" s="25"/>
      <c r="P7" s="25"/>
      <c r="Q7" s="23"/>
      <c r="R7" s="23"/>
      <c r="S7" s="23"/>
      <c r="T7" s="32"/>
    </row>
    <row r="8" spans="1:21" ht="18.75" customHeight="1">
      <c r="A8" s="34">
        <v>4</v>
      </c>
      <c r="B8" s="34" t="s">
        <v>242</v>
      </c>
      <c r="C8" s="54">
        <v>4</v>
      </c>
      <c r="D8" s="28"/>
      <c r="E8" s="28"/>
      <c r="F8" s="25"/>
      <c r="G8" s="28"/>
      <c r="H8" s="28"/>
      <c r="I8" s="61"/>
      <c r="J8" s="62"/>
      <c r="K8" s="28"/>
      <c r="L8" s="62"/>
      <c r="M8" s="62"/>
      <c r="N8" s="62"/>
      <c r="O8" s="25"/>
      <c r="P8" s="25"/>
      <c r="Q8" s="23"/>
      <c r="R8" s="23"/>
      <c r="S8" s="23"/>
      <c r="T8" s="32"/>
    </row>
    <row r="9" spans="1:21" ht="18.75" customHeight="1">
      <c r="A9" s="34">
        <v>5</v>
      </c>
      <c r="B9" s="34" t="s">
        <v>243</v>
      </c>
      <c r="C9" s="54">
        <v>20</v>
      </c>
      <c r="D9" s="28"/>
      <c r="E9" s="28"/>
      <c r="F9" s="25"/>
      <c r="G9" s="28"/>
      <c r="H9" s="28"/>
      <c r="I9" s="61"/>
      <c r="J9" s="62"/>
      <c r="K9" s="28"/>
      <c r="L9" s="62"/>
      <c r="M9" s="62"/>
      <c r="N9" s="62"/>
      <c r="O9" s="25"/>
      <c r="P9" s="25"/>
      <c r="Q9" s="23"/>
      <c r="R9" s="23"/>
      <c r="S9" s="23"/>
      <c r="T9" s="35"/>
    </row>
    <row r="10" spans="1:21" ht="18.75" customHeight="1">
      <c r="A10" s="34">
        <v>6</v>
      </c>
      <c r="B10" s="34" t="s">
        <v>244</v>
      </c>
      <c r="C10" s="54"/>
      <c r="D10" s="28"/>
      <c r="E10" s="28"/>
      <c r="F10" s="25">
        <v>12.5</v>
      </c>
      <c r="G10" s="28"/>
      <c r="H10" s="28"/>
      <c r="I10" s="61"/>
      <c r="J10" s="62"/>
      <c r="K10" s="28"/>
      <c r="L10" s="62"/>
      <c r="M10" s="62"/>
      <c r="N10" s="62"/>
      <c r="O10" s="25"/>
      <c r="P10" s="25"/>
      <c r="Q10" s="23"/>
      <c r="R10" s="23"/>
      <c r="S10" s="23"/>
      <c r="T10" s="35"/>
    </row>
    <row r="11" spans="1:21" ht="18.75" customHeight="1">
      <c r="A11" s="63" t="s">
        <v>245</v>
      </c>
      <c r="B11" s="64"/>
      <c r="C11" s="65"/>
      <c r="D11" s="28"/>
      <c r="E11" s="28"/>
      <c r="F11" s="25"/>
      <c r="G11" s="28"/>
      <c r="H11" s="28"/>
      <c r="I11" s="61"/>
      <c r="J11" s="62"/>
      <c r="K11" s="28"/>
      <c r="L11" s="62"/>
      <c r="M11" s="62"/>
      <c r="N11" s="62"/>
      <c r="O11" s="25"/>
      <c r="P11" s="25"/>
      <c r="Q11" s="23"/>
      <c r="R11" s="23"/>
      <c r="S11" s="23"/>
      <c r="T11" s="32"/>
    </row>
    <row r="12" spans="1:21" ht="18.75" customHeight="1">
      <c r="A12" s="34">
        <v>1</v>
      </c>
      <c r="B12" s="34" t="s">
        <v>246</v>
      </c>
      <c r="C12" s="54"/>
      <c r="D12" s="28"/>
      <c r="E12" s="28"/>
      <c r="F12" s="25"/>
      <c r="G12" s="28"/>
      <c r="H12" s="28"/>
      <c r="I12" s="61"/>
      <c r="J12" s="62"/>
      <c r="K12" s="28"/>
      <c r="L12" s="62"/>
      <c r="M12" s="62"/>
      <c r="N12" s="62"/>
      <c r="O12" s="25"/>
      <c r="P12" s="25"/>
      <c r="Q12" s="23"/>
      <c r="R12" s="23"/>
      <c r="S12" s="23"/>
      <c r="T12" s="32"/>
    </row>
    <row r="13" spans="1:21" ht="18.75" customHeight="1">
      <c r="A13" s="34">
        <v>2</v>
      </c>
      <c r="B13" s="34" t="s">
        <v>247</v>
      </c>
      <c r="C13" s="54">
        <v>3</v>
      </c>
      <c r="D13" s="28"/>
      <c r="E13" s="28"/>
      <c r="F13" s="25"/>
      <c r="G13" s="28"/>
      <c r="H13" s="28"/>
      <c r="I13" s="61"/>
      <c r="J13" s="62"/>
      <c r="K13" s="28"/>
      <c r="L13" s="62"/>
      <c r="M13" s="62"/>
      <c r="N13" s="62"/>
      <c r="O13" s="25"/>
      <c r="P13" s="25"/>
      <c r="Q13" s="23"/>
      <c r="R13" s="23"/>
      <c r="S13" s="23"/>
      <c r="T13" s="32"/>
    </row>
    <row r="14" spans="1:21" ht="18.75" customHeight="1">
      <c r="A14" s="34">
        <v>3</v>
      </c>
      <c r="B14" s="34" t="s">
        <v>249</v>
      </c>
      <c r="C14" s="66"/>
      <c r="D14" s="28"/>
      <c r="E14" s="28"/>
      <c r="F14" s="25"/>
      <c r="G14" s="28"/>
      <c r="H14" s="23"/>
      <c r="I14" s="61"/>
      <c r="J14" s="62"/>
      <c r="K14" s="28"/>
      <c r="L14" s="62"/>
      <c r="M14" s="62"/>
      <c r="N14" s="62"/>
      <c r="O14" s="25"/>
      <c r="P14" s="25"/>
      <c r="Q14" s="23"/>
      <c r="R14" s="23"/>
      <c r="S14" s="23"/>
      <c r="T14" s="32"/>
    </row>
    <row r="15" spans="1:21" ht="18.75" customHeight="1">
      <c r="A15" s="34">
        <v>4</v>
      </c>
      <c r="B15" s="34" t="s">
        <v>250</v>
      </c>
      <c r="C15" s="66">
        <v>4</v>
      </c>
      <c r="D15" s="28"/>
      <c r="E15" s="28"/>
      <c r="F15" s="25"/>
      <c r="G15" s="28"/>
      <c r="H15" s="23"/>
      <c r="I15" s="61"/>
      <c r="J15" s="62"/>
      <c r="K15" s="28"/>
      <c r="L15" s="62"/>
      <c r="M15" s="62"/>
      <c r="N15" s="62"/>
      <c r="O15" s="25"/>
      <c r="P15" s="25"/>
      <c r="Q15" s="23"/>
      <c r="R15" s="23"/>
      <c r="S15" s="23"/>
      <c r="T15" s="32"/>
    </row>
    <row r="16" spans="1:21" ht="18.75" customHeight="1">
      <c r="A16" s="34">
        <v>5</v>
      </c>
      <c r="B16" s="34" t="s">
        <v>251</v>
      </c>
      <c r="C16" s="66"/>
      <c r="D16" s="28"/>
      <c r="E16" s="28"/>
      <c r="F16" s="25"/>
      <c r="G16" s="28"/>
      <c r="H16" s="23"/>
      <c r="I16" s="61"/>
      <c r="J16" s="62"/>
      <c r="K16" s="28"/>
      <c r="L16" s="62"/>
      <c r="M16" s="62"/>
      <c r="N16" s="62"/>
      <c r="O16" s="25"/>
      <c r="P16" s="25"/>
      <c r="Q16" s="23"/>
      <c r="R16" s="23"/>
      <c r="S16" s="23"/>
      <c r="T16" s="32"/>
    </row>
    <row r="17" spans="1:20" ht="18.75" customHeight="1">
      <c r="A17" s="63" t="s">
        <v>252</v>
      </c>
      <c r="B17" s="64"/>
      <c r="C17" s="65"/>
      <c r="D17" s="28"/>
      <c r="E17" s="28"/>
      <c r="F17" s="25"/>
      <c r="G17" s="28"/>
      <c r="H17" s="28"/>
      <c r="I17" s="61"/>
      <c r="J17" s="62"/>
      <c r="K17" s="28"/>
      <c r="L17" s="62"/>
      <c r="M17" s="62"/>
      <c r="N17" s="62"/>
      <c r="O17" s="25"/>
      <c r="P17" s="25"/>
      <c r="Q17" s="23"/>
      <c r="R17" s="23"/>
      <c r="S17" s="23"/>
      <c r="T17" s="32"/>
    </row>
    <row r="18" spans="1:20" ht="18.75" customHeight="1">
      <c r="A18" s="34">
        <v>1</v>
      </c>
      <c r="B18" s="34" t="s">
        <v>256</v>
      </c>
      <c r="C18" s="54"/>
      <c r="D18" s="28"/>
      <c r="E18" s="28"/>
      <c r="F18" s="25"/>
      <c r="G18" s="28"/>
      <c r="H18" s="28"/>
      <c r="I18" s="61"/>
      <c r="J18" s="62"/>
      <c r="K18" s="28"/>
      <c r="L18" s="62"/>
      <c r="M18" s="62"/>
      <c r="N18" s="62"/>
      <c r="O18" s="25"/>
      <c r="P18" s="25"/>
      <c r="Q18" s="23"/>
      <c r="R18" s="23"/>
      <c r="S18" s="23"/>
      <c r="T18" s="32"/>
    </row>
    <row r="19" spans="1:20" ht="18.75" customHeight="1">
      <c r="A19" s="34">
        <v>2</v>
      </c>
      <c r="B19" s="34" t="s">
        <v>257</v>
      </c>
      <c r="C19" s="54"/>
      <c r="D19" s="28"/>
      <c r="E19" s="28"/>
      <c r="F19" s="25"/>
      <c r="H19" s="28"/>
      <c r="I19" s="61"/>
      <c r="J19" s="62"/>
      <c r="K19" s="28"/>
      <c r="L19" s="62"/>
      <c r="M19" s="62"/>
      <c r="N19" s="62"/>
      <c r="O19" s="25"/>
      <c r="P19" s="25"/>
      <c r="Q19" s="23"/>
      <c r="R19" s="23"/>
      <c r="S19" s="23"/>
      <c r="T19" s="32"/>
    </row>
    <row r="20" spans="1:20" ht="18.75" customHeight="1">
      <c r="A20" s="34">
        <v>3</v>
      </c>
      <c r="B20" s="34" t="s">
        <v>258</v>
      </c>
      <c r="C20" s="54"/>
      <c r="D20" s="28"/>
      <c r="E20" s="28"/>
      <c r="F20" s="25"/>
      <c r="G20" s="28"/>
      <c r="H20" s="28"/>
      <c r="I20" s="61"/>
      <c r="J20" s="62"/>
      <c r="K20" s="28"/>
      <c r="L20" s="62"/>
      <c r="M20" s="62"/>
      <c r="N20" s="62"/>
      <c r="O20" s="25"/>
      <c r="P20" s="25"/>
      <c r="Q20" s="23"/>
      <c r="R20" s="23"/>
      <c r="S20" s="23"/>
      <c r="T20" s="32"/>
    </row>
    <row r="21" spans="1:20" ht="18.75" customHeight="1">
      <c r="A21" s="34">
        <v>4</v>
      </c>
      <c r="B21" s="34" t="s">
        <v>259</v>
      </c>
      <c r="C21" s="54"/>
      <c r="D21" s="28"/>
      <c r="E21" s="28"/>
      <c r="F21" s="25">
        <v>44</v>
      </c>
      <c r="G21" s="28"/>
      <c r="H21" s="28"/>
      <c r="I21" s="61"/>
      <c r="J21" s="62"/>
      <c r="K21" s="23"/>
      <c r="L21" s="62"/>
      <c r="M21" s="62"/>
      <c r="N21" s="62"/>
      <c r="O21" s="25"/>
      <c r="P21" s="25"/>
      <c r="Q21" s="23"/>
      <c r="R21" s="23"/>
      <c r="S21" s="23"/>
      <c r="T21" s="32"/>
    </row>
    <row r="22" spans="1:20" ht="18.75" customHeight="1">
      <c r="A22" s="34">
        <v>5</v>
      </c>
      <c r="B22" s="34" t="s">
        <v>260</v>
      </c>
      <c r="C22" s="54"/>
      <c r="D22" s="28"/>
      <c r="E22" s="28"/>
      <c r="F22" s="25">
        <v>6.5</v>
      </c>
      <c r="G22" s="28">
        <v>4</v>
      </c>
      <c r="H22" s="28"/>
      <c r="I22" s="61"/>
      <c r="J22" s="62"/>
      <c r="K22" s="28"/>
      <c r="L22" s="62"/>
      <c r="M22" s="62"/>
      <c r="N22" s="62"/>
      <c r="O22" s="25"/>
      <c r="P22" s="25"/>
      <c r="Q22" s="23"/>
      <c r="R22" s="23"/>
      <c r="S22" s="23"/>
      <c r="T22" s="32"/>
    </row>
    <row r="23" spans="1:20" ht="18.75" customHeight="1">
      <c r="A23" s="34">
        <v>6</v>
      </c>
      <c r="B23" s="34" t="s">
        <v>261</v>
      </c>
      <c r="C23" s="54"/>
      <c r="D23" s="28"/>
      <c r="E23" s="28"/>
      <c r="F23" s="25"/>
      <c r="G23" s="28"/>
      <c r="H23" s="28"/>
      <c r="I23" s="61"/>
      <c r="J23" s="62"/>
      <c r="K23" s="28"/>
      <c r="L23" s="62"/>
      <c r="M23" s="62"/>
      <c r="N23" s="62"/>
      <c r="O23" s="25"/>
      <c r="P23" s="25"/>
      <c r="Q23" s="23"/>
      <c r="R23" s="23"/>
      <c r="S23" s="23"/>
      <c r="T23" s="32"/>
    </row>
    <row r="24" spans="1:20" ht="18.75" customHeight="1">
      <c r="A24" s="34">
        <v>7</v>
      </c>
      <c r="B24" s="34" t="s">
        <v>263</v>
      </c>
      <c r="C24" s="54"/>
      <c r="D24" s="28"/>
      <c r="E24" s="28"/>
      <c r="F24" s="25"/>
      <c r="G24" s="28"/>
      <c r="H24" s="28"/>
      <c r="I24" s="61"/>
      <c r="J24" s="62"/>
      <c r="K24" s="28"/>
      <c r="L24" s="62"/>
      <c r="M24" s="62"/>
      <c r="N24" s="62"/>
      <c r="O24" s="25"/>
      <c r="P24" s="25"/>
      <c r="Q24" s="23"/>
      <c r="R24" s="23"/>
      <c r="S24" s="23"/>
      <c r="T24" s="32"/>
    </row>
    <row r="25" spans="1:20" ht="18.75" customHeight="1">
      <c r="A25" s="34">
        <v>8</v>
      </c>
      <c r="B25" s="34" t="s">
        <v>264</v>
      </c>
      <c r="C25" s="54"/>
      <c r="D25" s="28"/>
      <c r="E25" s="28"/>
      <c r="F25" s="25">
        <v>7</v>
      </c>
      <c r="H25" s="28"/>
      <c r="I25" s="61"/>
      <c r="J25" s="62"/>
      <c r="K25" s="28"/>
      <c r="L25" s="62"/>
      <c r="M25" s="62"/>
      <c r="N25" s="62"/>
      <c r="O25" s="25"/>
      <c r="P25" s="25"/>
      <c r="Q25" s="23"/>
      <c r="R25" s="23"/>
      <c r="S25" s="23"/>
      <c r="T25" s="32"/>
    </row>
    <row r="26" spans="1:20" ht="18.75" customHeight="1">
      <c r="A26" s="34">
        <v>9</v>
      </c>
      <c r="B26" s="34" t="s">
        <v>265</v>
      </c>
      <c r="C26" s="54"/>
      <c r="D26" s="28"/>
      <c r="E26" s="28"/>
      <c r="F26" s="25">
        <v>24</v>
      </c>
      <c r="G26" s="28"/>
      <c r="H26" s="28"/>
      <c r="I26" s="61"/>
      <c r="J26" s="62"/>
      <c r="K26" s="23"/>
      <c r="L26" s="62"/>
      <c r="M26" s="62"/>
      <c r="N26" s="62"/>
      <c r="O26" s="25"/>
      <c r="P26" s="25"/>
      <c r="Q26" s="23"/>
      <c r="R26" s="23"/>
      <c r="S26" s="23"/>
      <c r="T26" s="32"/>
    </row>
    <row r="27" spans="1:20" ht="18.75" customHeight="1">
      <c r="A27" s="34">
        <v>10</v>
      </c>
      <c r="B27" s="34" t="s">
        <v>266</v>
      </c>
      <c r="C27" s="54"/>
      <c r="D27" s="28"/>
      <c r="E27" s="28"/>
      <c r="F27" s="25">
        <v>104</v>
      </c>
      <c r="G27" s="28"/>
      <c r="H27" s="28" t="s">
        <v>441</v>
      </c>
      <c r="I27" s="61"/>
      <c r="J27" s="62"/>
      <c r="K27" s="28"/>
      <c r="L27" s="62"/>
      <c r="M27" s="62"/>
      <c r="N27" s="62"/>
      <c r="O27" s="25"/>
      <c r="P27" s="25"/>
      <c r="Q27" s="23"/>
      <c r="R27" s="23"/>
      <c r="S27" s="23"/>
      <c r="T27" s="32"/>
    </row>
    <row r="28" spans="1:20" ht="18.75" customHeight="1">
      <c r="A28" s="63" t="s">
        <v>267</v>
      </c>
      <c r="B28" s="64"/>
      <c r="C28" s="65"/>
      <c r="D28" s="28"/>
      <c r="E28" s="28"/>
      <c r="F28" s="25"/>
      <c r="G28" s="28"/>
      <c r="H28" s="28"/>
      <c r="I28" s="61"/>
      <c r="J28" s="62"/>
      <c r="K28" s="28"/>
      <c r="L28" s="62"/>
      <c r="M28" s="62"/>
      <c r="N28" s="62"/>
      <c r="O28" s="25"/>
      <c r="P28" s="25"/>
      <c r="Q28" s="23"/>
      <c r="R28" s="23"/>
      <c r="S28" s="23"/>
      <c r="T28" s="32"/>
    </row>
    <row r="29" spans="1:20" ht="18.75" customHeight="1">
      <c r="A29" s="34">
        <v>1</v>
      </c>
      <c r="B29" s="34" t="s">
        <v>268</v>
      </c>
      <c r="C29" s="54"/>
      <c r="D29" s="28"/>
      <c r="E29" s="28"/>
      <c r="F29" s="25"/>
      <c r="G29" s="28"/>
      <c r="H29" s="28"/>
      <c r="I29" s="61"/>
      <c r="J29" s="62"/>
      <c r="K29" s="28"/>
      <c r="L29" s="62"/>
      <c r="M29" s="62"/>
      <c r="N29" s="62"/>
      <c r="O29" s="25"/>
      <c r="P29" s="25"/>
      <c r="Q29" s="23"/>
      <c r="R29" s="23"/>
      <c r="S29" s="23"/>
      <c r="T29" s="32"/>
    </row>
    <row r="30" spans="1:20" ht="18.75" customHeight="1">
      <c r="A30" s="63" t="s">
        <v>269</v>
      </c>
      <c r="B30" s="64"/>
      <c r="C30" s="65"/>
      <c r="D30" s="28"/>
      <c r="E30" s="28"/>
      <c r="F30" s="25"/>
      <c r="G30" s="28"/>
      <c r="H30" s="28"/>
      <c r="I30" s="61"/>
      <c r="J30" s="62"/>
      <c r="K30" s="28"/>
      <c r="L30" s="62"/>
      <c r="M30" s="62"/>
      <c r="N30" s="62"/>
      <c r="O30" s="25"/>
      <c r="P30" s="25"/>
      <c r="Q30" s="23"/>
      <c r="R30" s="23"/>
      <c r="S30" s="23"/>
      <c r="T30" s="32"/>
    </row>
    <row r="31" spans="1:20" ht="18.75" customHeight="1">
      <c r="A31" s="34">
        <v>1</v>
      </c>
      <c r="B31" s="34" t="s">
        <v>270</v>
      </c>
      <c r="C31" s="36"/>
      <c r="D31" s="28">
        <v>16</v>
      </c>
      <c r="E31" s="28">
        <v>3</v>
      </c>
      <c r="F31" s="25"/>
      <c r="G31" s="28"/>
      <c r="H31" s="28"/>
      <c r="I31" s="61"/>
      <c r="J31" s="62"/>
      <c r="K31" s="28"/>
      <c r="L31" s="62"/>
      <c r="M31" s="62"/>
      <c r="N31" s="62"/>
      <c r="O31" s="25"/>
      <c r="P31" s="25"/>
      <c r="Q31" s="23"/>
      <c r="R31" s="23"/>
      <c r="S31" s="23"/>
      <c r="T31" s="32"/>
    </row>
    <row r="32" spans="1:20" ht="18.75" customHeight="1">
      <c r="A32" s="34">
        <v>2</v>
      </c>
      <c r="B32" s="34" t="s">
        <v>271</v>
      </c>
      <c r="C32" s="36"/>
      <c r="D32" s="28">
        <v>24</v>
      </c>
      <c r="E32" s="28"/>
      <c r="F32" s="25"/>
      <c r="G32" s="28"/>
      <c r="H32" s="28"/>
      <c r="I32" s="61"/>
      <c r="J32" s="62"/>
      <c r="K32" s="28"/>
      <c r="L32" s="62"/>
      <c r="M32" s="62"/>
      <c r="N32" s="62"/>
      <c r="O32" s="25"/>
      <c r="P32" s="25"/>
      <c r="Q32" s="23"/>
      <c r="R32" s="23"/>
      <c r="S32" s="23"/>
      <c r="T32" s="32"/>
    </row>
    <row r="33" spans="1:20" ht="18.75" customHeight="1">
      <c r="A33" s="34">
        <v>3</v>
      </c>
      <c r="B33" s="34" t="s">
        <v>272</v>
      </c>
      <c r="C33" s="36" t="s">
        <v>484</v>
      </c>
      <c r="D33" s="28"/>
      <c r="E33" s="28"/>
      <c r="F33" s="25">
        <v>3</v>
      </c>
      <c r="G33" s="28"/>
      <c r="H33" s="28"/>
      <c r="I33" s="61"/>
      <c r="J33" s="62"/>
      <c r="K33" s="28"/>
      <c r="L33" s="62"/>
      <c r="M33" s="62"/>
      <c r="N33" s="62"/>
      <c r="O33" s="25"/>
      <c r="P33" s="25"/>
      <c r="Q33" s="23"/>
      <c r="R33" s="23"/>
      <c r="S33" s="23"/>
      <c r="T33" s="32"/>
    </row>
    <row r="34" spans="1:20" ht="18.75" customHeight="1">
      <c r="A34" s="34">
        <v>4</v>
      </c>
      <c r="B34" s="34" t="s">
        <v>273</v>
      </c>
      <c r="C34" s="36"/>
      <c r="D34" s="28"/>
      <c r="E34" s="28"/>
      <c r="F34" s="25">
        <v>25</v>
      </c>
      <c r="G34" s="28"/>
      <c r="H34" s="28"/>
      <c r="I34" s="61"/>
      <c r="J34" s="62"/>
      <c r="K34" s="28"/>
      <c r="L34" s="62"/>
      <c r="M34" s="62"/>
      <c r="N34" s="62"/>
      <c r="O34" s="25"/>
      <c r="P34" s="25"/>
      <c r="Q34" s="23"/>
      <c r="R34" s="23"/>
      <c r="S34" s="23"/>
      <c r="T34" s="32"/>
    </row>
    <row r="35" spans="1:20" ht="18.75" customHeight="1">
      <c r="A35" s="63" t="s">
        <v>274</v>
      </c>
      <c r="B35" s="34"/>
      <c r="C35" s="36"/>
      <c r="D35" s="28"/>
      <c r="E35" s="28"/>
      <c r="F35" s="25"/>
      <c r="G35" s="28"/>
      <c r="H35" s="28"/>
      <c r="I35" s="61"/>
      <c r="J35" s="62"/>
      <c r="K35" s="28"/>
      <c r="L35" s="62"/>
      <c r="M35" s="62"/>
      <c r="N35" s="62"/>
      <c r="O35" s="25"/>
      <c r="P35" s="25"/>
      <c r="Q35" s="23"/>
      <c r="R35" s="23"/>
      <c r="S35" s="23"/>
      <c r="T35" s="32"/>
    </row>
    <row r="36" spans="1:20" ht="18.75" customHeight="1">
      <c r="A36" s="34">
        <v>1</v>
      </c>
      <c r="B36" s="34" t="s">
        <v>275</v>
      </c>
      <c r="C36" s="12"/>
      <c r="D36" s="28"/>
      <c r="E36" s="28"/>
      <c r="F36" s="25"/>
      <c r="G36" s="28">
        <v>16</v>
      </c>
      <c r="H36" s="28"/>
      <c r="I36" s="61"/>
      <c r="J36" s="62"/>
      <c r="K36" s="28"/>
      <c r="L36" s="62"/>
      <c r="M36" s="62"/>
      <c r="N36" s="62"/>
      <c r="O36" s="25"/>
      <c r="P36" s="25"/>
      <c r="Q36" s="23"/>
      <c r="R36" s="23"/>
      <c r="S36" s="23"/>
      <c r="T36" s="32"/>
    </row>
    <row r="37" spans="1:20" ht="18.75" customHeight="1">
      <c r="A37" s="34">
        <v>2</v>
      </c>
      <c r="B37" s="34" t="s">
        <v>276</v>
      </c>
      <c r="C37" s="36"/>
      <c r="D37" s="23"/>
      <c r="E37" s="23"/>
      <c r="F37" s="25"/>
      <c r="G37" s="28"/>
      <c r="H37" s="23"/>
      <c r="I37" s="61"/>
      <c r="J37" s="62"/>
      <c r="K37" s="28"/>
      <c r="L37" s="62"/>
      <c r="M37" s="62"/>
      <c r="N37" s="62"/>
      <c r="O37" s="25"/>
      <c r="P37" s="25"/>
      <c r="Q37" s="23"/>
      <c r="R37" s="23"/>
      <c r="S37" s="23"/>
      <c r="T37" s="34"/>
    </row>
    <row r="38" spans="1:20" ht="18.75" customHeight="1">
      <c r="A38" s="34">
        <v>3</v>
      </c>
      <c r="B38" s="34" t="s">
        <v>277</v>
      </c>
      <c r="C38" s="36"/>
      <c r="D38" s="23"/>
      <c r="E38" s="23"/>
      <c r="F38" s="25"/>
      <c r="G38" s="28"/>
      <c r="H38" s="23"/>
      <c r="I38" s="61"/>
      <c r="J38" s="62"/>
      <c r="K38" s="28"/>
      <c r="L38" s="62"/>
      <c r="M38" s="62"/>
      <c r="N38" s="62"/>
      <c r="O38" s="25"/>
      <c r="P38" s="25"/>
      <c r="Q38" s="23"/>
      <c r="R38" s="23"/>
      <c r="S38" s="23"/>
      <c r="T38" s="34"/>
    </row>
    <row r="39" spans="1:20" ht="18.75" customHeight="1">
      <c r="A39" s="34">
        <v>4</v>
      </c>
      <c r="B39" s="34" t="s">
        <v>278</v>
      </c>
      <c r="C39" s="36"/>
      <c r="D39" s="23"/>
      <c r="E39" s="23"/>
      <c r="F39" s="25"/>
      <c r="G39" s="28"/>
      <c r="H39" s="23" t="s">
        <v>485</v>
      </c>
      <c r="I39" s="61"/>
      <c r="J39" s="62"/>
      <c r="K39" s="28"/>
      <c r="L39" s="62"/>
      <c r="M39" s="62"/>
      <c r="N39" s="62"/>
      <c r="O39" s="25"/>
      <c r="P39" s="25"/>
      <c r="Q39" s="23"/>
      <c r="R39" s="23"/>
      <c r="S39" s="23"/>
      <c r="T39" s="34"/>
    </row>
    <row r="40" spans="1:20" ht="18.75" customHeight="1">
      <c r="A40" s="34">
        <v>5</v>
      </c>
      <c r="B40" s="34" t="s">
        <v>279</v>
      </c>
      <c r="C40" s="12"/>
      <c r="D40" s="28"/>
      <c r="E40" s="28"/>
      <c r="F40" s="25">
        <v>1</v>
      </c>
      <c r="G40" s="28"/>
      <c r="H40" s="28"/>
      <c r="I40" s="61"/>
      <c r="J40" s="62"/>
      <c r="K40" s="28"/>
      <c r="L40" s="62"/>
      <c r="M40" s="62"/>
      <c r="N40" s="62"/>
      <c r="O40" s="25"/>
      <c r="P40" s="25"/>
      <c r="Q40" s="23"/>
      <c r="R40" s="23"/>
      <c r="S40" s="23"/>
      <c r="T40" s="32"/>
    </row>
    <row r="41" spans="1:20" ht="18.75" customHeight="1">
      <c r="A41" s="63" t="s">
        <v>280</v>
      </c>
      <c r="B41" s="34"/>
      <c r="C41" s="12"/>
      <c r="D41" s="28"/>
      <c r="E41" s="28"/>
      <c r="F41" s="25"/>
      <c r="G41" s="28"/>
      <c r="H41" s="28"/>
      <c r="I41" s="61"/>
      <c r="J41" s="62"/>
      <c r="K41" s="28"/>
      <c r="L41" s="62"/>
      <c r="M41" s="62"/>
      <c r="N41" s="62"/>
      <c r="O41" s="25"/>
      <c r="P41" s="25"/>
      <c r="Q41" s="23"/>
      <c r="R41" s="23"/>
      <c r="S41" s="23"/>
      <c r="T41" s="32"/>
    </row>
    <row r="42" spans="1:20" ht="18.75" customHeight="1">
      <c r="A42" s="34">
        <v>1</v>
      </c>
      <c r="B42" s="34" t="s">
        <v>281</v>
      </c>
      <c r="C42" s="36"/>
      <c r="D42" s="28"/>
      <c r="E42" s="28"/>
      <c r="F42" s="25"/>
      <c r="G42" s="28"/>
      <c r="H42" s="28"/>
      <c r="I42" s="61"/>
      <c r="J42" s="62"/>
      <c r="K42" s="28"/>
      <c r="L42" s="62"/>
      <c r="M42" s="62"/>
      <c r="N42" s="62"/>
      <c r="O42" s="25"/>
      <c r="P42" s="25"/>
      <c r="Q42" s="23"/>
      <c r="R42" s="23"/>
      <c r="S42" s="23"/>
      <c r="T42" s="32"/>
    </row>
    <row r="43" spans="1:20" ht="18.75" customHeight="1">
      <c r="A43" s="34">
        <v>2</v>
      </c>
      <c r="B43" s="34" t="s">
        <v>282</v>
      </c>
      <c r="C43" s="12"/>
      <c r="D43" s="28"/>
      <c r="E43" s="28"/>
      <c r="F43" s="25"/>
      <c r="G43" s="28"/>
      <c r="H43" s="28"/>
      <c r="I43" s="61"/>
      <c r="J43" s="62"/>
      <c r="K43" s="28"/>
      <c r="L43" s="62"/>
      <c r="M43" s="62"/>
      <c r="N43" s="62"/>
      <c r="O43" s="25"/>
      <c r="P43" s="25"/>
      <c r="Q43" s="23"/>
      <c r="R43" s="23"/>
      <c r="S43" s="23"/>
      <c r="T43" s="32"/>
    </row>
    <row r="44" spans="1:20" ht="18.75" customHeight="1">
      <c r="A44" s="34">
        <v>3</v>
      </c>
      <c r="B44" s="34" t="s">
        <v>283</v>
      </c>
      <c r="C44" s="12"/>
      <c r="D44" s="28"/>
      <c r="E44" s="28"/>
      <c r="F44" s="25">
        <v>8</v>
      </c>
      <c r="G44" s="28"/>
      <c r="H44" s="28"/>
      <c r="I44" s="61"/>
      <c r="J44" s="62"/>
      <c r="K44" s="28"/>
      <c r="L44" s="62"/>
      <c r="M44" s="62"/>
      <c r="N44" s="62"/>
      <c r="O44" s="25"/>
      <c r="P44" s="25"/>
      <c r="Q44" s="23"/>
      <c r="R44" s="23"/>
      <c r="S44" s="23"/>
      <c r="T44" s="32"/>
    </row>
    <row r="45" spans="1:20" ht="18.75" customHeight="1">
      <c r="A45" s="34">
        <v>4</v>
      </c>
      <c r="B45" s="34" t="s">
        <v>284</v>
      </c>
      <c r="C45" s="12"/>
      <c r="D45" s="28"/>
      <c r="E45" s="28"/>
      <c r="F45" s="25">
        <v>4</v>
      </c>
      <c r="G45" s="28"/>
      <c r="H45" s="28"/>
      <c r="I45" s="61"/>
      <c r="J45" s="62"/>
      <c r="K45" s="28"/>
      <c r="L45" s="62"/>
      <c r="M45" s="62"/>
      <c r="N45" s="62"/>
      <c r="O45" s="25"/>
      <c r="P45" s="25"/>
      <c r="Q45" s="23"/>
      <c r="R45" s="23"/>
      <c r="S45" s="23"/>
      <c r="T45" s="32"/>
    </row>
    <row r="46" spans="1:20" ht="18.75" customHeight="1">
      <c r="A46" s="34">
        <v>5</v>
      </c>
      <c r="B46" s="34" t="s">
        <v>285</v>
      </c>
      <c r="C46" s="12"/>
      <c r="D46" s="28"/>
      <c r="E46" s="28"/>
      <c r="F46" s="25"/>
      <c r="G46" s="28"/>
      <c r="H46" s="28"/>
      <c r="I46" s="61"/>
      <c r="J46" s="62"/>
      <c r="K46" s="28"/>
      <c r="L46" s="62"/>
      <c r="M46" s="62"/>
      <c r="N46" s="62"/>
      <c r="O46" s="25"/>
      <c r="P46" s="25"/>
      <c r="Q46" s="23"/>
      <c r="R46" s="23"/>
      <c r="S46" s="23"/>
      <c r="T46" s="32"/>
    </row>
    <row r="47" spans="1:20" ht="18.75" customHeight="1">
      <c r="A47" s="63" t="s">
        <v>286</v>
      </c>
      <c r="B47" s="34"/>
      <c r="C47" s="12"/>
      <c r="D47" s="28"/>
      <c r="E47" s="28"/>
      <c r="F47" s="25"/>
      <c r="G47" s="28"/>
      <c r="H47" s="28"/>
      <c r="I47" s="61"/>
      <c r="J47" s="62"/>
      <c r="K47" s="28"/>
      <c r="L47" s="62"/>
      <c r="M47" s="62"/>
      <c r="N47" s="62"/>
      <c r="O47" s="25"/>
      <c r="P47" s="25"/>
      <c r="Q47" s="23"/>
      <c r="R47" s="23"/>
      <c r="S47" s="23"/>
      <c r="T47" s="32"/>
    </row>
    <row r="48" spans="1:20" ht="18.75" customHeight="1">
      <c r="A48" s="34">
        <v>1</v>
      </c>
      <c r="B48" s="34" t="s">
        <v>287</v>
      </c>
      <c r="C48" s="36"/>
      <c r="D48" s="28"/>
      <c r="E48" s="28"/>
      <c r="F48" s="25"/>
      <c r="G48" s="28"/>
      <c r="H48" s="28"/>
      <c r="I48" s="61"/>
      <c r="J48" s="62"/>
      <c r="K48" s="28"/>
      <c r="L48" s="62"/>
      <c r="M48" s="62"/>
      <c r="N48" s="62"/>
      <c r="O48" s="25"/>
      <c r="P48" s="25"/>
      <c r="Q48" s="23"/>
      <c r="R48" s="23"/>
      <c r="S48" s="23"/>
      <c r="T48" s="32"/>
    </row>
    <row r="49" spans="1:20" ht="18.75" customHeight="1">
      <c r="A49" s="34">
        <v>2</v>
      </c>
      <c r="B49" s="34" t="s">
        <v>288</v>
      </c>
      <c r="C49" s="12"/>
      <c r="D49" s="28"/>
      <c r="E49" s="28"/>
      <c r="F49" s="25">
        <v>1.5</v>
      </c>
      <c r="G49" s="28"/>
      <c r="H49" s="28"/>
      <c r="I49" s="61"/>
      <c r="J49" s="62"/>
      <c r="K49" s="28"/>
      <c r="L49" s="62"/>
      <c r="M49" s="62"/>
      <c r="N49" s="62"/>
      <c r="O49" s="25"/>
      <c r="P49" s="25"/>
      <c r="Q49" s="23"/>
      <c r="R49" s="23"/>
      <c r="S49" s="23"/>
      <c r="T49" s="32"/>
    </row>
    <row r="50" spans="1:20" ht="18.75" customHeight="1">
      <c r="A50" s="34">
        <v>3</v>
      </c>
      <c r="B50" s="34" t="s">
        <v>289</v>
      </c>
      <c r="C50" s="12"/>
      <c r="D50" s="28"/>
      <c r="E50" s="28"/>
      <c r="F50" s="25">
        <v>9</v>
      </c>
      <c r="G50" s="28"/>
      <c r="H50" s="28"/>
      <c r="I50" s="61"/>
      <c r="J50" s="62"/>
      <c r="K50" s="28"/>
      <c r="L50" s="62"/>
      <c r="M50" s="62"/>
      <c r="N50" s="62"/>
      <c r="O50" s="25"/>
      <c r="P50" s="25"/>
      <c r="Q50" s="23"/>
      <c r="R50" s="23"/>
      <c r="S50" s="23"/>
      <c r="T50" s="32"/>
    </row>
    <row r="51" spans="1:20" ht="18.75" customHeight="1">
      <c r="A51" s="63" t="s">
        <v>290</v>
      </c>
      <c r="B51" s="34"/>
      <c r="C51" s="12"/>
      <c r="D51" s="28"/>
      <c r="E51" s="28"/>
      <c r="F51" s="25"/>
      <c r="G51" s="28"/>
      <c r="H51" s="28"/>
      <c r="I51" s="61"/>
      <c r="J51" s="62"/>
      <c r="K51" s="28"/>
      <c r="L51" s="62"/>
      <c r="M51" s="62"/>
      <c r="N51" s="62"/>
      <c r="O51" s="25"/>
      <c r="P51" s="25"/>
      <c r="Q51" s="23"/>
      <c r="R51" s="23"/>
      <c r="S51" s="23"/>
      <c r="T51" s="32"/>
    </row>
    <row r="52" spans="1:20" ht="18.75" customHeight="1">
      <c r="A52" s="34">
        <v>1</v>
      </c>
      <c r="B52" s="43" t="s">
        <v>291</v>
      </c>
      <c r="C52" s="12"/>
      <c r="D52" s="28"/>
      <c r="E52" s="28"/>
      <c r="F52" s="25"/>
      <c r="G52" s="28"/>
      <c r="H52" s="28"/>
      <c r="I52" s="61"/>
      <c r="J52" s="62"/>
      <c r="K52" s="28"/>
      <c r="L52" s="62"/>
      <c r="M52" s="62"/>
      <c r="N52" s="62"/>
      <c r="O52" s="25"/>
      <c r="P52" s="25"/>
      <c r="Q52" s="23"/>
      <c r="R52" s="23"/>
      <c r="S52" s="23"/>
      <c r="T52" s="32"/>
    </row>
    <row r="53" spans="1:20" ht="18.75" customHeight="1">
      <c r="A53" s="34">
        <v>2</v>
      </c>
      <c r="B53" s="34" t="s">
        <v>292</v>
      </c>
      <c r="C53" s="12"/>
      <c r="D53" s="28"/>
      <c r="E53" s="28"/>
      <c r="F53" s="25"/>
      <c r="G53" s="28">
        <v>9.5</v>
      </c>
      <c r="H53" s="28"/>
      <c r="I53" s="61"/>
      <c r="J53" s="62"/>
      <c r="K53" s="28"/>
      <c r="L53" s="62"/>
      <c r="M53" s="62"/>
      <c r="N53" s="62"/>
      <c r="O53" s="25"/>
      <c r="P53" s="25"/>
      <c r="Q53" s="23"/>
      <c r="R53" s="23"/>
      <c r="S53" s="23"/>
      <c r="T53" s="32"/>
    </row>
    <row r="54" spans="1:20" ht="18.75" customHeight="1">
      <c r="A54" s="34">
        <v>3</v>
      </c>
      <c r="B54" s="34" t="s">
        <v>293</v>
      </c>
      <c r="C54" s="12"/>
      <c r="D54" s="28"/>
      <c r="E54" s="28"/>
      <c r="F54" s="25"/>
      <c r="G54" s="28"/>
      <c r="H54" s="28"/>
      <c r="I54" s="61"/>
      <c r="J54" s="62"/>
      <c r="K54" s="28"/>
      <c r="L54" s="62"/>
      <c r="M54" s="62"/>
      <c r="N54" s="62"/>
      <c r="O54" s="25"/>
      <c r="P54" s="25"/>
      <c r="Q54" s="23"/>
      <c r="R54" s="23"/>
      <c r="S54" s="23"/>
      <c r="T54" s="32"/>
    </row>
    <row r="55" spans="1:20" ht="18.75" customHeight="1">
      <c r="A55" s="34">
        <v>4</v>
      </c>
      <c r="B55" s="34" t="s">
        <v>294</v>
      </c>
      <c r="C55" s="12"/>
      <c r="D55" s="23"/>
      <c r="E55" s="28"/>
      <c r="F55" s="25"/>
      <c r="G55" s="28">
        <v>3</v>
      </c>
      <c r="H55" s="28"/>
      <c r="I55" s="61"/>
      <c r="J55" s="62"/>
      <c r="K55" s="28"/>
      <c r="L55" s="62"/>
      <c r="M55" s="62"/>
      <c r="N55" s="62"/>
      <c r="O55" s="25"/>
      <c r="P55" s="25"/>
      <c r="Q55" s="23"/>
      <c r="R55" s="23"/>
      <c r="S55" s="23"/>
      <c r="T55" s="32"/>
    </row>
    <row r="56" spans="1:20" ht="18.75" customHeight="1">
      <c r="A56" s="34">
        <v>5</v>
      </c>
      <c r="B56" s="34" t="s">
        <v>295</v>
      </c>
      <c r="C56" s="12"/>
      <c r="D56" s="61"/>
      <c r="E56" s="28"/>
      <c r="F56" s="25"/>
      <c r="G56" s="23"/>
      <c r="H56" s="28"/>
      <c r="I56" s="61"/>
      <c r="J56" s="62"/>
      <c r="K56" s="28"/>
      <c r="L56" s="62"/>
      <c r="M56" s="62"/>
      <c r="N56" s="62"/>
      <c r="O56" s="25"/>
      <c r="P56" s="25"/>
      <c r="Q56" s="23"/>
      <c r="R56" s="23"/>
      <c r="S56" s="23"/>
      <c r="T56" s="32"/>
    </row>
    <row r="57" spans="1:20" ht="18.75" customHeight="1">
      <c r="A57" s="34">
        <v>6</v>
      </c>
      <c r="B57" s="34" t="s">
        <v>296</v>
      </c>
      <c r="C57" s="12"/>
      <c r="D57" s="61"/>
      <c r="E57" s="28"/>
      <c r="F57" s="25">
        <v>44</v>
      </c>
      <c r="G57" s="23">
        <v>16</v>
      </c>
      <c r="H57" s="28"/>
      <c r="I57" s="61"/>
      <c r="J57" s="62"/>
      <c r="K57" s="28"/>
      <c r="L57" s="62"/>
      <c r="M57" s="62"/>
      <c r="N57" s="62"/>
      <c r="O57" s="25"/>
      <c r="P57" s="25"/>
      <c r="Q57" s="23"/>
      <c r="R57" s="23"/>
      <c r="S57" s="23"/>
      <c r="T57" s="32"/>
    </row>
    <row r="58" spans="1:20" ht="18.75" customHeight="1">
      <c r="A58" s="34">
        <v>7</v>
      </c>
      <c r="B58" s="34" t="s">
        <v>297</v>
      </c>
      <c r="C58" s="12"/>
      <c r="D58" s="61"/>
      <c r="E58" s="28"/>
      <c r="F58" s="25"/>
      <c r="G58" s="23"/>
      <c r="H58" s="28"/>
      <c r="I58" s="61"/>
      <c r="J58" s="62"/>
      <c r="K58" s="28"/>
      <c r="L58" s="62"/>
      <c r="M58" s="62"/>
      <c r="N58" s="62"/>
      <c r="O58" s="25"/>
      <c r="P58" s="25"/>
      <c r="Q58" s="23"/>
      <c r="R58" s="23"/>
      <c r="S58" s="23"/>
      <c r="T58" s="32"/>
    </row>
    <row r="59" spans="1:20" ht="18.75" customHeight="1">
      <c r="A59" s="34">
        <v>8</v>
      </c>
      <c r="B59" s="34" t="s">
        <v>298</v>
      </c>
      <c r="C59" s="12" t="s">
        <v>468</v>
      </c>
      <c r="D59" s="61"/>
      <c r="E59" s="28">
        <v>65</v>
      </c>
      <c r="F59" s="25"/>
      <c r="G59" s="23"/>
      <c r="H59" s="28"/>
      <c r="I59" s="61"/>
      <c r="J59" s="62"/>
      <c r="K59" s="28"/>
      <c r="L59" s="62"/>
      <c r="M59" s="62"/>
      <c r="N59" s="62"/>
      <c r="O59" s="25"/>
      <c r="P59" s="25"/>
      <c r="Q59" s="23"/>
      <c r="R59" s="23"/>
      <c r="S59" s="23"/>
      <c r="T59" s="32"/>
    </row>
    <row r="60" spans="1:20" ht="18.75" customHeight="1">
      <c r="A60" s="34">
        <v>9</v>
      </c>
      <c r="B60" s="34" t="s">
        <v>299</v>
      </c>
      <c r="C60" s="12"/>
      <c r="D60" s="61"/>
      <c r="E60" s="28"/>
      <c r="F60" s="25">
        <v>0.5</v>
      </c>
      <c r="G60" s="23"/>
      <c r="H60" s="28"/>
      <c r="I60" s="61"/>
      <c r="J60" s="62"/>
      <c r="K60" s="28"/>
      <c r="L60" s="62"/>
      <c r="M60" s="62"/>
      <c r="N60" s="62"/>
      <c r="O60" s="25"/>
      <c r="P60" s="25"/>
      <c r="Q60" s="23"/>
      <c r="R60" s="23"/>
      <c r="S60" s="23"/>
      <c r="T60" s="32"/>
    </row>
    <row r="61" spans="1:20" ht="18.75" customHeight="1">
      <c r="A61" s="34">
        <v>10</v>
      </c>
      <c r="B61" s="34" t="s">
        <v>300</v>
      </c>
      <c r="C61" s="12"/>
      <c r="D61" s="61"/>
      <c r="E61" s="28"/>
      <c r="F61" s="25"/>
      <c r="G61" s="23"/>
      <c r="H61" s="28"/>
      <c r="I61" s="61"/>
      <c r="J61" s="62"/>
      <c r="K61" s="28"/>
      <c r="L61" s="62"/>
      <c r="M61" s="62"/>
      <c r="N61" s="62"/>
      <c r="O61" s="25"/>
      <c r="P61" s="25"/>
      <c r="Q61" s="23"/>
      <c r="R61" s="23"/>
      <c r="S61" s="23"/>
      <c r="T61" s="32"/>
    </row>
    <row r="62" spans="1:20" ht="18.75" customHeight="1">
      <c r="A62" s="34">
        <v>11</v>
      </c>
      <c r="B62" s="34" t="s">
        <v>301</v>
      </c>
      <c r="C62" s="12"/>
      <c r="D62" s="61"/>
      <c r="E62" s="28"/>
      <c r="F62" s="25">
        <v>32</v>
      </c>
      <c r="G62" s="23"/>
      <c r="H62" s="28"/>
      <c r="I62" s="61"/>
      <c r="J62" s="62"/>
      <c r="K62" s="28"/>
      <c r="L62" s="62"/>
      <c r="M62" s="62"/>
      <c r="N62" s="62"/>
      <c r="O62" s="25"/>
      <c r="P62" s="25"/>
      <c r="Q62" s="23"/>
      <c r="R62" s="23"/>
      <c r="S62" s="23"/>
      <c r="T62" s="32"/>
    </row>
    <row r="63" spans="1:20" ht="18.75" customHeight="1">
      <c r="A63" s="34">
        <v>12</v>
      </c>
      <c r="B63" s="34" t="s">
        <v>302</v>
      </c>
      <c r="C63" s="12"/>
      <c r="D63" s="61"/>
      <c r="E63" s="28"/>
      <c r="F63" s="25"/>
      <c r="G63" s="23"/>
      <c r="H63" s="28"/>
      <c r="I63" s="61"/>
      <c r="J63" s="62"/>
      <c r="K63" s="28"/>
      <c r="L63" s="62"/>
      <c r="M63" s="62"/>
      <c r="N63" s="62"/>
      <c r="O63" s="25"/>
      <c r="P63" s="25"/>
      <c r="Q63" s="23"/>
      <c r="R63" s="23"/>
      <c r="S63" s="23"/>
      <c r="T63" s="32"/>
    </row>
    <row r="64" spans="1:20" ht="18.75" customHeight="1">
      <c r="A64" s="34">
        <v>13</v>
      </c>
      <c r="B64" s="34" t="s">
        <v>303</v>
      </c>
      <c r="C64" s="12"/>
      <c r="D64" s="61"/>
      <c r="E64" s="28"/>
      <c r="F64" s="25"/>
      <c r="G64" s="23"/>
      <c r="H64" s="28"/>
      <c r="I64" s="61"/>
      <c r="J64" s="62"/>
      <c r="K64" s="28"/>
      <c r="L64" s="62"/>
      <c r="M64" s="62"/>
      <c r="N64" s="62"/>
      <c r="O64" s="25"/>
      <c r="P64" s="25"/>
      <c r="Q64" s="23"/>
      <c r="R64" s="23"/>
      <c r="S64" s="23"/>
      <c r="T64" s="32"/>
    </row>
    <row r="65" spans="1:20" ht="18.75" customHeight="1">
      <c r="A65" s="34">
        <v>14</v>
      </c>
      <c r="B65" s="34" t="s">
        <v>304</v>
      </c>
      <c r="C65" s="12"/>
      <c r="D65" s="61"/>
      <c r="E65" s="28"/>
      <c r="F65" s="25"/>
      <c r="G65" s="23">
        <v>16</v>
      </c>
      <c r="H65" s="28"/>
      <c r="I65" s="61"/>
      <c r="J65" s="62"/>
      <c r="K65" s="28"/>
      <c r="L65" s="62"/>
      <c r="M65" s="62"/>
      <c r="N65" s="62"/>
      <c r="O65" s="25"/>
      <c r="P65" s="25"/>
      <c r="Q65" s="23"/>
      <c r="R65" s="23"/>
      <c r="S65" s="23"/>
      <c r="T65" s="32"/>
    </row>
    <row r="66" spans="1:20" ht="18.75" customHeight="1">
      <c r="A66" s="63" t="s">
        <v>305</v>
      </c>
      <c r="B66" s="64"/>
      <c r="C66" s="65"/>
      <c r="D66" s="28"/>
      <c r="E66" s="28"/>
      <c r="F66" s="25"/>
      <c r="G66" s="28"/>
      <c r="H66" s="28"/>
      <c r="I66" s="61"/>
      <c r="J66" s="62"/>
      <c r="K66" s="28"/>
      <c r="L66" s="62"/>
      <c r="M66" s="62"/>
      <c r="N66" s="62"/>
      <c r="O66" s="25"/>
      <c r="P66" s="25"/>
      <c r="Q66" s="23"/>
      <c r="R66" s="23"/>
      <c r="S66" s="23"/>
      <c r="T66" s="32"/>
    </row>
    <row r="67" spans="1:20" ht="18.75" customHeight="1">
      <c r="A67" s="34">
        <v>1</v>
      </c>
      <c r="B67" s="34" t="s">
        <v>306</v>
      </c>
      <c r="C67" s="12"/>
      <c r="D67" s="28"/>
      <c r="E67" s="28"/>
      <c r="F67" s="25"/>
      <c r="G67" s="28"/>
      <c r="H67" s="27"/>
      <c r="I67" s="61"/>
      <c r="J67" s="62"/>
      <c r="K67" s="28"/>
      <c r="L67" s="62"/>
      <c r="M67" s="62"/>
      <c r="N67" s="62"/>
      <c r="O67" s="25"/>
      <c r="P67" s="25"/>
      <c r="Q67" s="23"/>
      <c r="R67" s="23"/>
      <c r="S67" s="23"/>
      <c r="T67" s="32"/>
    </row>
    <row r="68" spans="1:20" ht="18.75" customHeight="1">
      <c r="A68" s="34">
        <v>2</v>
      </c>
      <c r="B68" s="34" t="s">
        <v>307</v>
      </c>
      <c r="C68" s="12"/>
      <c r="D68" s="28"/>
      <c r="E68" s="28"/>
      <c r="F68" s="25"/>
      <c r="G68" s="28"/>
      <c r="H68" s="28"/>
      <c r="I68" s="61">
        <v>2</v>
      </c>
      <c r="J68" s="62">
        <f>I68*8</f>
        <v>16</v>
      </c>
      <c r="K68" s="23"/>
      <c r="L68" s="62"/>
      <c r="M68" s="62"/>
      <c r="N68" s="62">
        <f>M68+L68+J68</f>
        <v>16</v>
      </c>
      <c r="O68" s="25">
        <v>26</v>
      </c>
      <c r="P68" s="25">
        <v>6</v>
      </c>
      <c r="Q68" s="23"/>
      <c r="R68" s="23"/>
      <c r="S68" s="23"/>
      <c r="T68" s="32"/>
    </row>
    <row r="69" spans="1:20" ht="18.75" customHeight="1">
      <c r="A69" s="34">
        <v>3</v>
      </c>
      <c r="B69" s="34" t="s">
        <v>308</v>
      </c>
      <c r="C69" s="12"/>
      <c r="D69" s="28"/>
      <c r="E69" s="28"/>
      <c r="F69" s="25"/>
      <c r="G69" s="28"/>
      <c r="H69" s="28"/>
      <c r="I69" s="61"/>
      <c r="J69" s="62"/>
      <c r="K69" s="23"/>
      <c r="L69" s="62"/>
      <c r="M69" s="62"/>
      <c r="N69" s="62"/>
      <c r="O69" s="25">
        <v>3</v>
      </c>
      <c r="P69" s="25"/>
      <c r="Q69" s="23"/>
      <c r="R69" s="23"/>
      <c r="S69" s="23"/>
      <c r="T69" s="32"/>
    </row>
    <row r="70" spans="1:20" ht="18.75" customHeight="1">
      <c r="A70" s="34">
        <v>4</v>
      </c>
      <c r="B70" s="34" t="s">
        <v>309</v>
      </c>
      <c r="D70" s="12"/>
      <c r="E70" s="28"/>
      <c r="F70" s="25"/>
      <c r="G70" s="28"/>
      <c r="H70" s="28"/>
      <c r="I70" s="61"/>
      <c r="J70" s="62"/>
      <c r="K70" s="23"/>
      <c r="L70" s="62"/>
      <c r="M70" s="62"/>
      <c r="N70" s="62"/>
      <c r="O70" s="25">
        <v>1</v>
      </c>
      <c r="P70" s="25">
        <v>31</v>
      </c>
      <c r="Q70" s="23"/>
      <c r="R70" s="23"/>
      <c r="S70" s="23"/>
      <c r="T70" s="32"/>
    </row>
    <row r="71" spans="1:20" ht="18.75" customHeight="1">
      <c r="A71" s="34">
        <v>5</v>
      </c>
      <c r="B71" s="34" t="s">
        <v>310</v>
      </c>
      <c r="C71" s="12">
        <v>3</v>
      </c>
      <c r="D71" s="12"/>
      <c r="E71" s="28"/>
      <c r="F71" s="25"/>
      <c r="G71" s="28"/>
      <c r="H71" s="28"/>
      <c r="I71" s="61"/>
      <c r="J71" s="62"/>
      <c r="K71" s="23"/>
      <c r="L71" s="62"/>
      <c r="M71" s="62"/>
      <c r="N71" s="62"/>
      <c r="O71" s="25"/>
      <c r="P71" s="25">
        <v>32</v>
      </c>
      <c r="Q71" s="23"/>
      <c r="R71" s="23"/>
      <c r="S71" s="23"/>
      <c r="T71" s="32"/>
    </row>
    <row r="72" spans="1:20" ht="18.75" customHeight="1">
      <c r="A72" s="34">
        <v>6</v>
      </c>
      <c r="B72" s="34" t="s">
        <v>311</v>
      </c>
      <c r="C72" s="36" t="s">
        <v>483</v>
      </c>
      <c r="D72" s="28"/>
      <c r="E72" s="28"/>
      <c r="F72" s="25"/>
      <c r="G72" s="28"/>
      <c r="H72" s="28"/>
      <c r="I72" s="61">
        <v>2</v>
      </c>
      <c r="J72" s="62">
        <f>I72*8</f>
        <v>16</v>
      </c>
      <c r="K72" s="23"/>
      <c r="L72" s="62"/>
      <c r="M72" s="62"/>
      <c r="N72" s="62">
        <f>M72+L72+J72</f>
        <v>16</v>
      </c>
      <c r="O72" s="25"/>
      <c r="P72" s="25"/>
      <c r="Q72" s="23"/>
      <c r="R72" s="23"/>
      <c r="S72" s="23"/>
      <c r="T72" s="32"/>
    </row>
    <row r="73" spans="1:20" ht="18.75" customHeight="1">
      <c r="A73" s="34">
        <v>8</v>
      </c>
      <c r="B73" s="34" t="s">
        <v>313</v>
      </c>
      <c r="C73" s="12">
        <v>20</v>
      </c>
      <c r="D73" s="28"/>
      <c r="E73" s="28"/>
      <c r="F73" s="25"/>
      <c r="G73" s="28"/>
      <c r="H73" s="28"/>
      <c r="I73" s="61"/>
      <c r="J73" s="62"/>
      <c r="K73" s="23"/>
      <c r="L73" s="62"/>
      <c r="M73" s="62"/>
      <c r="N73" s="62"/>
      <c r="O73" s="25"/>
      <c r="P73" s="25">
        <v>32</v>
      </c>
      <c r="Q73" s="23"/>
      <c r="R73" s="23"/>
      <c r="S73" s="23"/>
      <c r="T73" s="32"/>
    </row>
    <row r="74" spans="1:20" ht="18.75" customHeight="1">
      <c r="A74" s="34">
        <v>9</v>
      </c>
      <c r="B74" s="34" t="s">
        <v>314</v>
      </c>
      <c r="C74" s="12"/>
      <c r="D74" s="28"/>
      <c r="E74" s="28"/>
      <c r="F74" s="25">
        <v>1</v>
      </c>
      <c r="G74" s="28"/>
      <c r="H74" s="28"/>
      <c r="I74" s="61"/>
      <c r="J74" s="62"/>
      <c r="K74" s="23"/>
      <c r="L74" s="62"/>
      <c r="M74" s="62"/>
      <c r="N74" s="62"/>
      <c r="O74" s="25">
        <v>7.5</v>
      </c>
      <c r="P74" s="25">
        <v>16.5</v>
      </c>
      <c r="Q74" s="23"/>
      <c r="R74" s="23"/>
      <c r="S74" s="23"/>
      <c r="T74" s="32"/>
    </row>
    <row r="75" spans="1:20" ht="18.75" customHeight="1">
      <c r="A75" s="34">
        <v>10</v>
      </c>
      <c r="B75" s="34" t="s">
        <v>315</v>
      </c>
      <c r="C75" s="12"/>
      <c r="D75" s="28"/>
      <c r="E75" s="28"/>
      <c r="F75" s="25"/>
      <c r="G75" s="28"/>
      <c r="H75" s="28"/>
      <c r="I75" s="61"/>
      <c r="J75" s="62"/>
      <c r="K75" s="23"/>
      <c r="L75" s="62"/>
      <c r="M75" s="62"/>
      <c r="N75" s="62"/>
      <c r="O75" s="25">
        <v>2</v>
      </c>
      <c r="P75" s="25">
        <v>30</v>
      </c>
      <c r="Q75" s="23"/>
      <c r="R75" s="23"/>
      <c r="S75" s="23"/>
      <c r="T75" s="32"/>
    </row>
    <row r="76" spans="1:20" ht="18.75" customHeight="1">
      <c r="A76" s="34">
        <v>11</v>
      </c>
      <c r="B76" s="34" t="s">
        <v>316</v>
      </c>
      <c r="C76" s="12"/>
      <c r="D76" s="28"/>
      <c r="E76" s="28"/>
      <c r="F76" s="25"/>
      <c r="G76" s="28"/>
      <c r="H76" s="28"/>
      <c r="I76" s="61"/>
      <c r="J76" s="62"/>
      <c r="K76" s="23"/>
      <c r="L76" s="62"/>
      <c r="M76" s="62"/>
      <c r="N76" s="62"/>
      <c r="O76" s="25"/>
      <c r="P76" s="25">
        <v>32</v>
      </c>
      <c r="Q76" s="23"/>
      <c r="R76" s="23"/>
      <c r="S76" s="23"/>
      <c r="T76" s="32"/>
    </row>
    <row r="77" spans="1:20" ht="18.75" customHeight="1">
      <c r="A77" s="34">
        <v>12</v>
      </c>
      <c r="B77" s="34" t="s">
        <v>317</v>
      </c>
      <c r="C77" s="12"/>
      <c r="D77" s="28"/>
      <c r="E77" s="28"/>
      <c r="F77" s="25"/>
      <c r="G77" s="28"/>
      <c r="H77" s="28"/>
      <c r="I77" s="61">
        <v>12</v>
      </c>
      <c r="J77" s="62">
        <f>I77*8</f>
        <v>96</v>
      </c>
      <c r="K77" s="23"/>
      <c r="L77" s="62"/>
      <c r="M77" s="62"/>
      <c r="N77" s="62">
        <f>M77+L77+J77</f>
        <v>96</v>
      </c>
      <c r="O77" s="25"/>
      <c r="P77" s="25">
        <v>32</v>
      </c>
      <c r="Q77" s="23"/>
      <c r="R77" s="23"/>
      <c r="S77" s="23"/>
      <c r="T77" s="32"/>
    </row>
    <row r="78" spans="1:20" ht="18.75" customHeight="1">
      <c r="A78" s="34">
        <v>13</v>
      </c>
      <c r="B78" s="34" t="s">
        <v>318</v>
      </c>
      <c r="C78" s="12"/>
      <c r="D78" s="28"/>
      <c r="E78" s="28"/>
      <c r="F78" s="25">
        <v>2</v>
      </c>
      <c r="G78" s="28"/>
      <c r="H78" s="28"/>
      <c r="I78" s="61"/>
      <c r="J78" s="62"/>
      <c r="K78" s="23"/>
      <c r="L78" s="62"/>
      <c r="M78" s="62"/>
      <c r="N78" s="62"/>
      <c r="O78" s="25">
        <v>14</v>
      </c>
      <c r="P78" s="25">
        <v>10</v>
      </c>
      <c r="Q78" s="23"/>
      <c r="R78" s="23"/>
      <c r="S78" s="23"/>
      <c r="T78" s="32"/>
    </row>
    <row r="79" spans="1:20" ht="18.75" customHeight="1">
      <c r="A79" s="34">
        <v>14</v>
      </c>
      <c r="B79" s="34" t="s">
        <v>319</v>
      </c>
      <c r="C79" s="12"/>
      <c r="D79" s="28"/>
      <c r="E79" s="28"/>
      <c r="F79" s="25"/>
      <c r="G79" s="28"/>
      <c r="H79" s="28"/>
      <c r="I79" s="61"/>
      <c r="J79" s="62"/>
      <c r="K79" s="23"/>
      <c r="L79" s="62"/>
      <c r="M79" s="62"/>
      <c r="N79" s="62"/>
      <c r="O79" s="25">
        <v>9</v>
      </c>
      <c r="P79" s="25">
        <v>15</v>
      </c>
      <c r="Q79" s="23"/>
      <c r="R79" s="23"/>
      <c r="S79" s="23"/>
      <c r="T79" s="32"/>
    </row>
    <row r="80" spans="1:20" ht="18.75" customHeight="1">
      <c r="A80" s="34">
        <v>15</v>
      </c>
      <c r="B80" s="34" t="s">
        <v>320</v>
      </c>
      <c r="C80" s="12"/>
      <c r="D80" s="28"/>
      <c r="E80" s="28"/>
      <c r="F80" s="25"/>
      <c r="G80" s="28"/>
      <c r="H80" s="28"/>
      <c r="I80" s="61"/>
      <c r="J80" s="62"/>
      <c r="K80" s="23"/>
      <c r="L80" s="62"/>
      <c r="M80" s="62"/>
      <c r="N80" s="62"/>
      <c r="O80" s="25"/>
      <c r="P80" s="25"/>
      <c r="Q80" s="23"/>
      <c r="R80" s="23"/>
      <c r="S80" s="23"/>
      <c r="T80" s="32"/>
    </row>
    <row r="81" spans="1:21" ht="18.75" customHeight="1">
      <c r="A81" s="34">
        <v>16</v>
      </c>
      <c r="B81" s="34" t="s">
        <v>321</v>
      </c>
      <c r="C81" s="12"/>
      <c r="D81" s="28"/>
      <c r="E81" s="28"/>
      <c r="F81" s="25"/>
      <c r="G81" s="28"/>
      <c r="H81" s="28"/>
      <c r="I81" s="61"/>
      <c r="J81" s="62"/>
      <c r="K81" s="23"/>
      <c r="L81" s="62"/>
      <c r="M81" s="62"/>
      <c r="N81" s="62"/>
      <c r="O81" s="25"/>
      <c r="P81" s="25"/>
      <c r="Q81" s="23"/>
      <c r="R81" s="23"/>
      <c r="S81" s="23"/>
      <c r="T81" s="32"/>
    </row>
    <row r="82" spans="1:21" ht="18.75" customHeight="1">
      <c r="A82" s="34">
        <v>17</v>
      </c>
      <c r="B82" s="34" t="s">
        <v>322</v>
      </c>
      <c r="C82" s="12"/>
      <c r="D82" s="28"/>
      <c r="E82" s="23"/>
      <c r="F82" s="25"/>
      <c r="H82" s="28"/>
      <c r="I82" s="61"/>
      <c r="J82" s="62"/>
      <c r="K82" s="23"/>
      <c r="L82" s="62"/>
      <c r="M82" s="62"/>
      <c r="N82" s="62"/>
      <c r="O82" s="25"/>
      <c r="P82" s="25"/>
      <c r="Q82" s="23"/>
      <c r="R82" s="23"/>
      <c r="S82" s="23"/>
      <c r="T82" s="32"/>
    </row>
    <row r="83" spans="1:21" ht="18.75" customHeight="1">
      <c r="A83" s="34">
        <v>18</v>
      </c>
      <c r="B83" s="34" t="s">
        <v>323</v>
      </c>
      <c r="C83" s="12"/>
      <c r="D83" s="28"/>
      <c r="E83" s="28"/>
      <c r="F83" s="25"/>
      <c r="G83" s="28"/>
      <c r="H83" s="28"/>
      <c r="I83" s="61"/>
      <c r="J83" s="62"/>
      <c r="K83" s="23"/>
      <c r="L83" s="62"/>
      <c r="M83" s="62"/>
      <c r="N83" s="62"/>
      <c r="O83" s="25"/>
      <c r="P83" s="25"/>
      <c r="Q83" s="23"/>
      <c r="R83" s="23"/>
      <c r="S83" s="23"/>
      <c r="T83" s="32"/>
    </row>
    <row r="84" spans="1:21" ht="18.75" customHeight="1">
      <c r="A84" s="34">
        <v>19</v>
      </c>
      <c r="B84" s="34" t="s">
        <v>324</v>
      </c>
      <c r="C84" s="12"/>
      <c r="D84" s="28"/>
      <c r="E84" s="28"/>
      <c r="F84" s="25"/>
      <c r="G84" s="28"/>
      <c r="H84" s="28"/>
      <c r="I84" s="61"/>
      <c r="J84" s="62"/>
      <c r="K84" s="23"/>
      <c r="L84" s="62"/>
      <c r="M84" s="62"/>
      <c r="N84" s="62"/>
      <c r="O84" s="25"/>
      <c r="P84" s="25"/>
      <c r="Q84" s="23"/>
      <c r="R84" s="23"/>
      <c r="S84" s="23"/>
      <c r="T84" s="32"/>
    </row>
    <row r="85" spans="1:21" ht="18.75" customHeight="1">
      <c r="A85" s="34">
        <v>20</v>
      </c>
      <c r="B85" s="34" t="s">
        <v>325</v>
      </c>
      <c r="C85" s="12"/>
      <c r="D85" s="28"/>
      <c r="E85" s="28"/>
      <c r="F85" s="25">
        <v>8</v>
      </c>
      <c r="G85" s="28"/>
      <c r="H85" s="28"/>
      <c r="I85" s="61"/>
      <c r="J85" s="62"/>
      <c r="K85" s="23"/>
      <c r="L85" s="62"/>
      <c r="M85" s="62"/>
      <c r="N85" s="62"/>
      <c r="O85" s="25"/>
      <c r="P85" s="25"/>
      <c r="Q85" s="23"/>
      <c r="R85" s="23"/>
      <c r="S85" s="23"/>
      <c r="T85" s="32"/>
    </row>
    <row r="86" spans="1:21" ht="18.75" customHeight="1">
      <c r="A86" s="34">
        <v>21</v>
      </c>
      <c r="B86" s="34" t="s">
        <v>326</v>
      </c>
      <c r="C86" s="12">
        <v>4</v>
      </c>
      <c r="D86" s="28"/>
      <c r="E86" s="28"/>
      <c r="F86" s="25"/>
      <c r="G86" s="28"/>
      <c r="H86" s="28"/>
      <c r="I86" s="61"/>
      <c r="J86" s="62"/>
      <c r="K86" s="23"/>
      <c r="L86" s="62"/>
      <c r="M86" s="62"/>
      <c r="N86" s="62"/>
      <c r="O86" s="25">
        <v>32</v>
      </c>
      <c r="P86" s="25"/>
      <c r="Q86" s="23"/>
      <c r="R86" s="23"/>
      <c r="S86" s="23"/>
      <c r="T86" s="32"/>
    </row>
    <row r="87" spans="1:21" ht="18.75" customHeight="1">
      <c r="A87" s="34">
        <v>22</v>
      </c>
      <c r="B87" s="34" t="s">
        <v>327</v>
      </c>
      <c r="C87" s="12"/>
      <c r="D87" s="28"/>
      <c r="E87" s="28"/>
      <c r="F87" s="25"/>
      <c r="G87" s="28"/>
      <c r="H87" s="28"/>
      <c r="I87" s="61"/>
      <c r="J87" s="62"/>
      <c r="K87" s="23"/>
      <c r="L87" s="62"/>
      <c r="M87" s="62"/>
      <c r="N87" s="62"/>
      <c r="O87" s="25"/>
      <c r="P87" s="25"/>
      <c r="Q87" s="23"/>
      <c r="R87" s="23"/>
      <c r="S87" s="23"/>
      <c r="T87" s="35"/>
    </row>
    <row r="88" spans="1:21" ht="18.75" customHeight="1">
      <c r="A88" s="34">
        <v>23</v>
      </c>
      <c r="B88" s="34" t="s">
        <v>328</v>
      </c>
      <c r="C88" s="12"/>
      <c r="D88" s="28"/>
      <c r="E88" s="28"/>
      <c r="F88" s="25"/>
      <c r="G88" s="28"/>
      <c r="H88" s="28"/>
      <c r="I88" s="61">
        <v>4</v>
      </c>
      <c r="J88" s="62">
        <f>I88*8</f>
        <v>32</v>
      </c>
      <c r="K88" s="23">
        <v>1</v>
      </c>
      <c r="L88" s="16">
        <f t="shared" ref="L88" si="0">K88*12</f>
        <v>12</v>
      </c>
      <c r="M88" s="16">
        <f t="shared" ref="M88" si="1">K88*4</f>
        <v>4</v>
      </c>
      <c r="N88" s="62">
        <f>M88+L88+J88</f>
        <v>48</v>
      </c>
      <c r="O88" s="25">
        <v>8</v>
      </c>
      <c r="P88" s="25">
        <v>24</v>
      </c>
      <c r="Q88" s="23"/>
      <c r="R88" s="23"/>
      <c r="S88" s="23"/>
      <c r="T88" s="32"/>
    </row>
    <row r="89" spans="1:21" ht="18.75" customHeight="1">
      <c r="A89" s="34">
        <v>24</v>
      </c>
      <c r="B89" s="71" t="s">
        <v>329</v>
      </c>
      <c r="C89" s="12"/>
      <c r="D89" s="28"/>
      <c r="E89" s="28"/>
      <c r="F89" s="25"/>
      <c r="G89" s="28"/>
      <c r="H89" s="28"/>
      <c r="I89" s="61"/>
      <c r="J89" s="62"/>
      <c r="K89" s="23"/>
      <c r="L89" s="62"/>
      <c r="M89" s="62"/>
      <c r="N89" s="62"/>
      <c r="O89" s="25"/>
      <c r="P89" s="25"/>
      <c r="Q89" s="23"/>
      <c r="R89" s="23"/>
      <c r="S89" s="23"/>
      <c r="T89" s="32"/>
      <c r="U89" s="72"/>
    </row>
    <row r="90" spans="1:21" ht="18.75" customHeight="1">
      <c r="A90" s="34">
        <v>25</v>
      </c>
      <c r="B90" s="34" t="s">
        <v>330</v>
      </c>
      <c r="C90" s="12"/>
      <c r="D90" s="28"/>
      <c r="E90" s="28"/>
      <c r="F90" s="25">
        <v>3</v>
      </c>
      <c r="G90" s="28"/>
      <c r="H90" s="28"/>
      <c r="I90" s="61"/>
      <c r="J90" s="62"/>
      <c r="K90" s="23"/>
      <c r="L90" s="62"/>
      <c r="M90" s="62"/>
      <c r="N90" s="62"/>
      <c r="O90" s="25"/>
      <c r="P90" s="25"/>
      <c r="Q90" s="23"/>
      <c r="R90" s="23"/>
      <c r="S90" s="23"/>
      <c r="T90" s="32"/>
      <c r="U90" s="72"/>
    </row>
    <row r="91" spans="1:21" ht="18.75" customHeight="1">
      <c r="A91" s="34">
        <v>26</v>
      </c>
      <c r="B91" s="34" t="s">
        <v>331</v>
      </c>
      <c r="C91" s="12"/>
      <c r="D91" s="28"/>
      <c r="E91" s="28"/>
      <c r="F91" s="25"/>
      <c r="G91" s="28"/>
      <c r="H91" s="28"/>
      <c r="I91" s="61">
        <v>6</v>
      </c>
      <c r="J91" s="62">
        <f>I91*8</f>
        <v>48</v>
      </c>
      <c r="K91" s="23"/>
      <c r="L91" s="62"/>
      <c r="M91" s="62"/>
      <c r="N91" s="62">
        <f>M91+L91+J91</f>
        <v>48</v>
      </c>
      <c r="O91" s="25">
        <v>28</v>
      </c>
      <c r="P91" s="23"/>
      <c r="Q91" s="23">
        <v>20</v>
      </c>
      <c r="S91" s="23"/>
      <c r="T91" s="32"/>
      <c r="U91" s="72"/>
    </row>
    <row r="92" spans="1:21" ht="18.75" customHeight="1">
      <c r="A92" s="34">
        <v>27</v>
      </c>
      <c r="B92" s="71" t="s">
        <v>332</v>
      </c>
      <c r="C92" s="12"/>
      <c r="D92" s="28"/>
      <c r="E92" s="28"/>
      <c r="F92" s="25">
        <v>8</v>
      </c>
      <c r="G92" s="61"/>
      <c r="H92" s="28"/>
      <c r="I92" s="61">
        <v>16</v>
      </c>
      <c r="J92" s="62">
        <f>I92*8</f>
        <v>128</v>
      </c>
      <c r="K92" s="23"/>
      <c r="L92" s="62"/>
      <c r="M92" s="62"/>
      <c r="N92" s="62">
        <f>M92+L92+J92</f>
        <v>128</v>
      </c>
      <c r="O92" s="25">
        <v>24</v>
      </c>
      <c r="P92" s="25">
        <v>8</v>
      </c>
      <c r="Q92" s="23"/>
      <c r="R92" s="23"/>
      <c r="S92" s="23"/>
      <c r="T92" s="32"/>
      <c r="U92" s="73"/>
    </row>
    <row r="93" spans="1:21" ht="18.75" customHeight="1">
      <c r="A93" s="34">
        <v>28</v>
      </c>
      <c r="B93" s="34" t="s">
        <v>333</v>
      </c>
      <c r="C93" s="12"/>
      <c r="D93" s="28"/>
      <c r="E93" s="28"/>
      <c r="F93" s="25">
        <v>56</v>
      </c>
      <c r="G93" s="61"/>
      <c r="H93" s="28"/>
      <c r="I93" s="61"/>
      <c r="J93" s="62"/>
      <c r="K93" s="23"/>
      <c r="L93" s="62"/>
      <c r="M93" s="62"/>
      <c r="N93" s="62"/>
      <c r="O93" s="25"/>
      <c r="P93" s="25"/>
      <c r="Q93" s="23"/>
      <c r="R93" s="23"/>
      <c r="S93" s="23"/>
      <c r="T93" s="32"/>
      <c r="U93" s="73"/>
    </row>
    <row r="94" spans="1:21" ht="18.75" customHeight="1">
      <c r="A94" s="34">
        <v>29</v>
      </c>
      <c r="B94" s="34" t="s">
        <v>334</v>
      </c>
      <c r="C94" s="12"/>
      <c r="D94" s="28"/>
      <c r="E94" s="28"/>
      <c r="F94" s="25"/>
      <c r="G94" s="61"/>
      <c r="H94" s="28"/>
      <c r="I94" s="61">
        <v>9</v>
      </c>
      <c r="J94" s="62">
        <f>I94*8</f>
        <v>72</v>
      </c>
      <c r="K94" s="23"/>
      <c r="L94" s="62"/>
      <c r="M94" s="62"/>
      <c r="N94" s="62">
        <f>M94+L94+J94</f>
        <v>72</v>
      </c>
      <c r="O94" s="25"/>
      <c r="P94" s="25">
        <v>12</v>
      </c>
      <c r="Q94" s="23">
        <v>44</v>
      </c>
      <c r="R94" s="23"/>
      <c r="S94" s="23"/>
      <c r="T94" s="32"/>
      <c r="U94" s="73"/>
    </row>
    <row r="95" spans="1:21" ht="18.75" customHeight="1">
      <c r="A95" s="34">
        <v>30</v>
      </c>
      <c r="B95" s="34" t="s">
        <v>335</v>
      </c>
      <c r="C95" s="12"/>
      <c r="D95" s="28"/>
      <c r="E95" s="28"/>
      <c r="F95" s="25"/>
      <c r="G95" s="61"/>
      <c r="H95" s="28"/>
      <c r="I95" s="61">
        <v>10</v>
      </c>
      <c r="J95" s="62">
        <f>I95*8</f>
        <v>80</v>
      </c>
      <c r="K95" s="23"/>
      <c r="L95" s="62"/>
      <c r="M95" s="62"/>
      <c r="N95" s="62">
        <f>M95+L95+J95</f>
        <v>80</v>
      </c>
      <c r="O95" s="25"/>
      <c r="P95" s="25">
        <v>30</v>
      </c>
      <c r="Q95" s="23"/>
      <c r="R95" s="23">
        <v>10</v>
      </c>
      <c r="S95" s="23"/>
      <c r="T95" s="32"/>
      <c r="U95" s="73"/>
    </row>
    <row r="96" spans="1:21" ht="18.75" customHeight="1">
      <c r="A96" s="34">
        <v>31</v>
      </c>
      <c r="B96" s="34" t="s">
        <v>336</v>
      </c>
      <c r="C96" s="12"/>
      <c r="D96" s="28"/>
      <c r="E96" s="28"/>
      <c r="F96" s="25"/>
      <c r="G96" s="61"/>
      <c r="H96" s="28"/>
      <c r="I96" s="61">
        <v>6</v>
      </c>
      <c r="J96" s="62">
        <f>I96*8</f>
        <v>48</v>
      </c>
      <c r="K96" s="23"/>
      <c r="L96" s="62"/>
      <c r="M96" s="62"/>
      <c r="N96" s="62">
        <f>M96+L96+J96</f>
        <v>48</v>
      </c>
      <c r="O96" s="25">
        <v>20</v>
      </c>
      <c r="P96" s="25">
        <v>12</v>
      </c>
      <c r="Q96" s="23"/>
      <c r="R96" s="23"/>
      <c r="S96" s="23"/>
      <c r="T96" s="32"/>
      <c r="U96" s="73"/>
    </row>
    <row r="97" spans="1:20" ht="18.75" customHeight="1">
      <c r="A97" s="34">
        <v>32</v>
      </c>
      <c r="B97" s="34" t="s">
        <v>337</v>
      </c>
      <c r="C97" s="36"/>
      <c r="D97" s="23"/>
      <c r="E97" s="27"/>
      <c r="F97" s="25"/>
      <c r="G97" s="28"/>
      <c r="H97" s="28"/>
      <c r="I97" s="61"/>
      <c r="J97" s="62"/>
      <c r="K97" s="23"/>
      <c r="L97" s="62"/>
      <c r="M97" s="62"/>
      <c r="N97" s="62"/>
      <c r="O97" s="25"/>
      <c r="P97" s="25"/>
      <c r="Q97" s="23"/>
      <c r="R97" s="23"/>
      <c r="S97" s="23"/>
      <c r="T97" s="32"/>
    </row>
    <row r="98" spans="1:20" ht="18.75" customHeight="1">
      <c r="A98" s="34">
        <v>33</v>
      </c>
      <c r="B98" s="34" t="s">
        <v>338</v>
      </c>
      <c r="C98" s="36"/>
      <c r="D98" s="23"/>
      <c r="E98" s="28"/>
      <c r="F98" s="25"/>
      <c r="G98" s="28"/>
      <c r="H98" s="28"/>
      <c r="I98" s="61"/>
      <c r="J98" s="62"/>
      <c r="K98" s="23"/>
      <c r="L98" s="62"/>
      <c r="M98" s="62"/>
      <c r="N98" s="62"/>
      <c r="O98" s="25"/>
      <c r="P98" s="25"/>
      <c r="Q98" s="23"/>
      <c r="R98" s="23"/>
      <c r="S98" s="23"/>
      <c r="T98" s="32"/>
    </row>
    <row r="99" spans="1:20" ht="18.75" customHeight="1">
      <c r="A99" s="34">
        <v>34</v>
      </c>
      <c r="B99" s="34" t="s">
        <v>339</v>
      </c>
      <c r="C99" s="36"/>
      <c r="D99" s="23"/>
      <c r="E99" s="27"/>
      <c r="F99" s="25">
        <v>1</v>
      </c>
      <c r="G99" s="28"/>
      <c r="H99" s="28"/>
      <c r="I99" s="61"/>
      <c r="J99" s="62"/>
      <c r="K99" s="23"/>
      <c r="L99" s="62"/>
      <c r="M99" s="62"/>
      <c r="N99" s="62"/>
      <c r="O99" s="25"/>
      <c r="P99" s="25"/>
      <c r="Q99" s="23"/>
      <c r="R99" s="23"/>
      <c r="S99" s="23"/>
      <c r="T99" s="32"/>
    </row>
    <row r="100" spans="1:20" ht="18.75" customHeight="1">
      <c r="A100" s="34">
        <v>35</v>
      </c>
      <c r="B100" s="34" t="s">
        <v>340</v>
      </c>
      <c r="C100" s="36"/>
      <c r="D100" s="23"/>
      <c r="E100" s="27"/>
      <c r="F100" s="25"/>
      <c r="G100" s="28"/>
      <c r="H100" s="28"/>
      <c r="I100" s="61">
        <v>6</v>
      </c>
      <c r="J100" s="62">
        <f t="shared" ref="J100" si="2">I100*8</f>
        <v>48</v>
      </c>
      <c r="K100" s="23"/>
      <c r="L100" s="62"/>
      <c r="M100" s="62"/>
      <c r="N100" s="62">
        <f t="shared" ref="N100" si="3">M100+L100+J100</f>
        <v>48</v>
      </c>
      <c r="O100" s="25">
        <v>14</v>
      </c>
      <c r="P100" s="25"/>
      <c r="Q100" s="23"/>
      <c r="R100" s="23"/>
      <c r="S100" s="23"/>
      <c r="T100" s="32"/>
    </row>
    <row r="101" spans="1:20" ht="18.75" customHeight="1">
      <c r="A101" s="34">
        <v>36</v>
      </c>
      <c r="B101" s="34" t="s">
        <v>341</v>
      </c>
      <c r="C101" s="36"/>
      <c r="D101" s="23"/>
      <c r="E101" s="27"/>
      <c r="F101" s="25"/>
      <c r="G101" s="28"/>
      <c r="H101" s="28"/>
      <c r="I101" s="61">
        <v>11</v>
      </c>
      <c r="J101" s="62">
        <f t="shared" ref="J101" si="4">I101*8</f>
        <v>88</v>
      </c>
      <c r="K101" s="23"/>
      <c r="L101" s="62"/>
      <c r="M101" s="62"/>
      <c r="N101" s="62">
        <f t="shared" ref="N101" si="5">M101+L101+J101</f>
        <v>88</v>
      </c>
      <c r="O101" s="25"/>
      <c r="P101" s="25"/>
      <c r="Q101" s="23"/>
      <c r="R101" s="23"/>
      <c r="S101" s="23"/>
      <c r="T101" s="32"/>
    </row>
    <row r="102" spans="1:20" ht="18.75" customHeight="1">
      <c r="A102" s="34">
        <v>37</v>
      </c>
      <c r="B102" s="34" t="s">
        <v>342</v>
      </c>
      <c r="C102" s="36"/>
      <c r="D102" s="23"/>
      <c r="E102" s="27"/>
      <c r="F102" s="25"/>
      <c r="G102" s="28"/>
      <c r="H102" s="28"/>
      <c r="I102" s="61">
        <v>5</v>
      </c>
      <c r="J102" s="62">
        <f t="shared" ref="J102" si="6">I102*8</f>
        <v>40</v>
      </c>
      <c r="K102" s="23"/>
      <c r="L102" s="62"/>
      <c r="M102" s="62"/>
      <c r="N102" s="62">
        <f t="shared" ref="N102" si="7">M102+L102+J102</f>
        <v>40</v>
      </c>
      <c r="O102" s="25">
        <v>6</v>
      </c>
      <c r="P102" s="25"/>
      <c r="Q102" s="23"/>
      <c r="R102" s="23"/>
      <c r="S102" s="23"/>
      <c r="T102" s="32"/>
    </row>
    <row r="103" spans="1:20" ht="18.75" customHeight="1">
      <c r="A103" s="63" t="s">
        <v>343</v>
      </c>
      <c r="B103" s="64"/>
      <c r="C103" s="12"/>
      <c r="D103" s="28"/>
      <c r="E103" s="28"/>
      <c r="F103" s="25"/>
      <c r="G103" s="28"/>
      <c r="H103" s="28"/>
      <c r="I103" s="61"/>
      <c r="J103" s="62"/>
      <c r="K103" s="28"/>
      <c r="L103" s="62"/>
      <c r="M103" s="62"/>
      <c r="N103" s="62"/>
      <c r="O103" s="25"/>
      <c r="P103" s="25"/>
      <c r="Q103" s="23"/>
      <c r="R103" s="23"/>
      <c r="S103" s="23"/>
      <c r="T103" s="32"/>
    </row>
    <row r="104" spans="1:20" ht="18.75" customHeight="1">
      <c r="A104" s="34">
        <v>1</v>
      </c>
      <c r="B104" s="34" t="s">
        <v>344</v>
      </c>
      <c r="C104" s="12"/>
      <c r="D104" s="28"/>
      <c r="E104" s="28"/>
      <c r="F104" s="25"/>
      <c r="G104" s="28"/>
      <c r="H104" s="27"/>
      <c r="I104" s="61"/>
      <c r="J104" s="62"/>
      <c r="K104" s="28"/>
      <c r="L104" s="62"/>
      <c r="M104" s="62"/>
      <c r="N104" s="62"/>
      <c r="O104" s="25"/>
      <c r="P104" s="25"/>
      <c r="Q104" s="23"/>
      <c r="R104" s="23"/>
      <c r="S104" s="23"/>
      <c r="T104" s="32"/>
    </row>
    <row r="105" spans="1:20" ht="18.75" customHeight="1">
      <c r="A105" s="34">
        <v>2</v>
      </c>
      <c r="B105" s="34" t="s">
        <v>345</v>
      </c>
      <c r="C105" s="12"/>
      <c r="D105" s="28"/>
      <c r="E105" s="28"/>
      <c r="F105" s="25"/>
      <c r="G105" s="28"/>
      <c r="H105" s="28"/>
      <c r="I105" s="61"/>
      <c r="J105" s="62"/>
      <c r="K105" s="28"/>
      <c r="L105" s="62"/>
      <c r="M105" s="62"/>
      <c r="N105" s="62"/>
      <c r="O105" s="25"/>
      <c r="P105" s="25">
        <v>24</v>
      </c>
      <c r="Q105" s="23"/>
      <c r="R105" s="23"/>
      <c r="S105" s="23"/>
      <c r="T105" s="32"/>
    </row>
    <row r="106" spans="1:20" ht="18.75" customHeight="1">
      <c r="A106" s="34">
        <v>3</v>
      </c>
      <c r="B106" s="34" t="s">
        <v>346</v>
      </c>
      <c r="C106" s="12"/>
      <c r="D106" s="28"/>
      <c r="E106" s="28"/>
      <c r="F106" s="25"/>
      <c r="G106" s="28"/>
      <c r="H106" s="28"/>
      <c r="I106" s="61"/>
      <c r="J106" s="62"/>
      <c r="K106" s="28"/>
      <c r="L106" s="62"/>
      <c r="M106" s="62"/>
      <c r="N106" s="62"/>
      <c r="O106" s="25"/>
      <c r="P106" s="25"/>
      <c r="Q106" s="23"/>
      <c r="R106" s="23"/>
      <c r="S106" s="23"/>
      <c r="T106" s="32"/>
    </row>
    <row r="107" spans="1:20" ht="18.75" customHeight="1">
      <c r="A107" s="34">
        <v>4</v>
      </c>
      <c r="B107" s="34" t="s">
        <v>347</v>
      </c>
      <c r="C107" s="12"/>
      <c r="D107" s="28"/>
      <c r="E107" s="28"/>
      <c r="F107" s="25">
        <v>1</v>
      </c>
      <c r="G107" s="61"/>
      <c r="H107" s="28"/>
      <c r="I107" s="61"/>
      <c r="J107" s="62"/>
      <c r="K107" s="28"/>
      <c r="L107" s="62"/>
      <c r="M107" s="62"/>
      <c r="N107" s="62"/>
      <c r="O107" s="25"/>
      <c r="P107" s="25"/>
      <c r="Q107" s="23"/>
      <c r="R107" s="23"/>
      <c r="S107" s="23"/>
      <c r="T107" s="32"/>
    </row>
    <row r="108" spans="1:20" ht="18.75" customHeight="1">
      <c r="A108" s="34">
        <v>5</v>
      </c>
      <c r="B108" s="34" t="s">
        <v>349</v>
      </c>
      <c r="C108" s="12"/>
      <c r="D108" s="28"/>
      <c r="E108" s="28"/>
      <c r="F108" s="25"/>
      <c r="G108" s="28"/>
      <c r="H108" s="28"/>
      <c r="I108" s="61"/>
      <c r="J108" s="62"/>
      <c r="K108" s="28"/>
      <c r="L108" s="62"/>
      <c r="M108" s="62"/>
      <c r="N108" s="62"/>
      <c r="O108" s="25"/>
      <c r="P108" s="25"/>
      <c r="Q108" s="23"/>
      <c r="R108" s="23"/>
      <c r="S108" s="23"/>
      <c r="T108" s="32"/>
    </row>
    <row r="109" spans="1:20" ht="18.75" customHeight="1">
      <c r="A109" s="34">
        <v>6</v>
      </c>
      <c r="B109" s="34" t="s">
        <v>350</v>
      </c>
      <c r="C109" s="12"/>
      <c r="D109" s="28"/>
      <c r="E109" s="28"/>
      <c r="F109" s="25"/>
      <c r="G109" s="28"/>
      <c r="H109" s="28"/>
      <c r="I109" s="61"/>
      <c r="J109" s="62"/>
      <c r="K109" s="28"/>
      <c r="L109" s="62"/>
      <c r="M109" s="62"/>
      <c r="N109" s="62"/>
      <c r="O109" s="25">
        <v>2.5</v>
      </c>
      <c r="P109" s="25">
        <v>25</v>
      </c>
      <c r="Q109" s="23"/>
      <c r="R109" s="23"/>
      <c r="S109" s="23"/>
      <c r="T109" s="35"/>
    </row>
    <row r="110" spans="1:20" ht="18.75" customHeight="1">
      <c r="A110" s="34">
        <v>7</v>
      </c>
      <c r="B110" s="34" t="s">
        <v>351</v>
      </c>
      <c r="C110" s="12"/>
      <c r="D110" s="28"/>
      <c r="E110" s="28"/>
      <c r="F110" s="25"/>
      <c r="G110" s="28"/>
      <c r="H110" s="28"/>
      <c r="I110" s="61"/>
      <c r="J110" s="62"/>
      <c r="K110" s="28"/>
      <c r="L110" s="62"/>
      <c r="M110" s="62"/>
      <c r="N110" s="62"/>
      <c r="O110" s="25">
        <v>2</v>
      </c>
      <c r="P110" s="25">
        <v>24</v>
      </c>
      <c r="Q110" s="23"/>
      <c r="R110" s="23"/>
      <c r="S110" s="23"/>
      <c r="T110" s="35"/>
    </row>
    <row r="111" spans="1:20" ht="18.75" customHeight="1">
      <c r="A111" s="34">
        <v>8</v>
      </c>
      <c r="B111" s="34" t="s">
        <v>352</v>
      </c>
      <c r="C111" s="12"/>
      <c r="D111" s="28"/>
      <c r="E111" s="28"/>
      <c r="F111" s="25"/>
      <c r="G111" s="28"/>
      <c r="H111" s="28"/>
      <c r="I111" s="61"/>
      <c r="J111" s="62"/>
      <c r="K111" s="28"/>
      <c r="L111" s="62"/>
      <c r="M111" s="62"/>
      <c r="N111" s="62"/>
      <c r="O111" s="25"/>
      <c r="P111" s="25"/>
      <c r="Q111" s="23"/>
      <c r="R111" s="23"/>
      <c r="S111" s="23"/>
      <c r="T111" s="35"/>
    </row>
    <row r="112" spans="1:20" ht="18.75" customHeight="1">
      <c r="A112" s="34">
        <v>9</v>
      </c>
      <c r="B112" s="34" t="s">
        <v>353</v>
      </c>
      <c r="C112" s="12"/>
      <c r="D112" s="28"/>
      <c r="E112" s="28"/>
      <c r="F112" s="25"/>
      <c r="G112" s="28"/>
      <c r="H112" s="28"/>
      <c r="I112" s="61"/>
      <c r="J112" s="62"/>
      <c r="K112" s="23"/>
      <c r="L112" s="62"/>
      <c r="M112" s="62"/>
      <c r="N112" s="62"/>
      <c r="O112" s="25"/>
      <c r="P112" s="25"/>
      <c r="Q112" s="23"/>
      <c r="R112" s="23"/>
      <c r="S112" s="23"/>
      <c r="T112" s="35"/>
    </row>
    <row r="113" spans="1:20" ht="18.75" customHeight="1">
      <c r="A113" s="34">
        <v>10</v>
      </c>
      <c r="B113" s="34" t="s">
        <v>354</v>
      </c>
      <c r="C113" s="12"/>
      <c r="D113" s="28"/>
      <c r="E113" s="28"/>
      <c r="F113" s="25"/>
      <c r="G113" s="28"/>
      <c r="H113" s="28"/>
      <c r="I113" s="61"/>
      <c r="J113" s="62"/>
      <c r="K113" s="28"/>
      <c r="L113" s="62"/>
      <c r="M113" s="62"/>
      <c r="N113" s="62"/>
      <c r="O113" s="25">
        <v>8.5</v>
      </c>
      <c r="P113" s="25">
        <v>16</v>
      </c>
      <c r="Q113" s="23"/>
      <c r="R113" s="23"/>
      <c r="S113" s="23"/>
      <c r="T113" s="35"/>
    </row>
    <row r="114" spans="1:20" ht="18.75" customHeight="1">
      <c r="A114" s="34">
        <v>11</v>
      </c>
      <c r="B114" s="34" t="s">
        <v>355</v>
      </c>
      <c r="C114" s="12"/>
      <c r="D114" s="28"/>
      <c r="E114" s="28"/>
      <c r="F114" s="25">
        <v>30</v>
      </c>
      <c r="G114" s="28"/>
      <c r="H114" s="28"/>
      <c r="I114" s="61"/>
      <c r="J114" s="62"/>
      <c r="K114" s="28"/>
      <c r="L114" s="62"/>
      <c r="M114" s="62"/>
      <c r="N114" s="62"/>
      <c r="O114" s="25"/>
      <c r="P114" s="25"/>
      <c r="Q114" s="23"/>
      <c r="R114" s="23"/>
      <c r="S114" s="23"/>
      <c r="T114" s="35"/>
    </row>
    <row r="115" spans="1:20" ht="18.75" customHeight="1">
      <c r="A115" s="63" t="s">
        <v>22</v>
      </c>
      <c r="B115" s="64"/>
      <c r="C115" s="12"/>
      <c r="D115" s="28"/>
      <c r="E115" s="28"/>
      <c r="F115" s="25"/>
      <c r="G115" s="28"/>
      <c r="H115" s="28"/>
      <c r="I115" s="61"/>
      <c r="J115" s="62"/>
      <c r="K115" s="28"/>
      <c r="L115" s="62"/>
      <c r="M115" s="62"/>
      <c r="N115" s="62"/>
      <c r="O115" s="25"/>
      <c r="P115" s="25"/>
      <c r="Q115" s="23"/>
      <c r="R115" s="23"/>
      <c r="S115" s="23"/>
      <c r="T115" s="32"/>
    </row>
    <row r="116" spans="1:20" ht="18.75" customHeight="1">
      <c r="A116" s="34">
        <v>1</v>
      </c>
      <c r="B116" s="34" t="s">
        <v>356</v>
      </c>
      <c r="C116" s="12">
        <v>4</v>
      </c>
      <c r="D116" s="28"/>
      <c r="E116" s="28"/>
      <c r="F116" s="25"/>
      <c r="G116" s="28">
        <v>4</v>
      </c>
      <c r="H116" s="28"/>
      <c r="I116" s="61"/>
      <c r="J116" s="62"/>
      <c r="K116" s="28"/>
      <c r="L116" s="62"/>
      <c r="M116" s="62"/>
      <c r="N116" s="62"/>
      <c r="O116" s="25"/>
      <c r="P116" s="25"/>
      <c r="Q116" s="23"/>
      <c r="R116" s="23"/>
      <c r="S116" s="23"/>
      <c r="T116" s="32"/>
    </row>
    <row r="117" spans="1:20" ht="18.75" customHeight="1">
      <c r="A117" s="34">
        <v>2</v>
      </c>
      <c r="B117" s="34" t="s">
        <v>358</v>
      </c>
      <c r="C117" s="12"/>
      <c r="D117" s="28"/>
      <c r="E117" s="28"/>
      <c r="F117" s="25"/>
      <c r="G117" s="28"/>
      <c r="H117" s="28"/>
      <c r="I117" s="61"/>
      <c r="J117" s="62"/>
      <c r="K117" s="28"/>
      <c r="L117" s="62"/>
      <c r="M117" s="62"/>
      <c r="N117" s="62"/>
      <c r="O117" s="25"/>
      <c r="P117" s="25"/>
      <c r="Q117" s="23"/>
      <c r="R117" s="23"/>
      <c r="S117" s="23"/>
      <c r="T117" s="32"/>
    </row>
    <row r="118" spans="1:20" ht="18.75" customHeight="1">
      <c r="A118" s="34">
        <v>3</v>
      </c>
      <c r="B118" s="34" t="s">
        <v>359</v>
      </c>
      <c r="C118" s="12"/>
      <c r="D118" s="28"/>
      <c r="E118" s="28"/>
      <c r="F118" s="25">
        <v>17</v>
      </c>
      <c r="G118" s="28"/>
      <c r="H118" s="28"/>
      <c r="I118" s="61"/>
      <c r="J118" s="62"/>
      <c r="K118" s="28"/>
      <c r="L118" s="62"/>
      <c r="M118" s="62"/>
      <c r="N118" s="62"/>
      <c r="O118" s="25">
        <v>24</v>
      </c>
      <c r="P118" s="25"/>
      <c r="Q118" s="23"/>
      <c r="R118" s="23"/>
      <c r="S118" s="23"/>
      <c r="T118" s="32"/>
    </row>
    <row r="119" spans="1:20" ht="18.75" customHeight="1">
      <c r="A119" s="34">
        <v>4</v>
      </c>
      <c r="B119" s="34" t="s">
        <v>360</v>
      </c>
      <c r="C119" s="12"/>
      <c r="D119" s="28"/>
      <c r="E119" s="28"/>
      <c r="F119" s="25">
        <v>10.5</v>
      </c>
      <c r="G119" s="28"/>
      <c r="H119" s="28"/>
      <c r="I119" s="61"/>
      <c r="J119" s="62"/>
      <c r="K119" s="28"/>
      <c r="L119" s="62"/>
      <c r="M119" s="62"/>
      <c r="N119" s="62"/>
      <c r="O119" s="25"/>
      <c r="P119" s="25"/>
      <c r="Q119" s="23"/>
      <c r="R119" s="23"/>
      <c r="S119" s="23"/>
      <c r="T119" s="32"/>
    </row>
    <row r="120" spans="1:20" ht="18.75" customHeight="1">
      <c r="A120" s="34">
        <v>5</v>
      </c>
      <c r="B120" s="11" t="s">
        <v>361</v>
      </c>
      <c r="C120" s="12"/>
      <c r="D120" s="29">
        <v>80</v>
      </c>
      <c r="E120" s="28"/>
      <c r="F120" s="25"/>
      <c r="G120" s="28"/>
      <c r="H120" s="28"/>
      <c r="I120" s="61"/>
      <c r="J120" s="62"/>
      <c r="K120" s="28"/>
      <c r="L120" s="62"/>
      <c r="M120" s="62"/>
      <c r="N120" s="62"/>
      <c r="O120" s="25"/>
      <c r="P120" s="25"/>
      <c r="Q120" s="23"/>
      <c r="R120" s="23"/>
      <c r="S120" s="23"/>
      <c r="T120" s="32"/>
    </row>
    <row r="121" spans="1:20" ht="18.75" customHeight="1">
      <c r="A121" s="34">
        <v>6</v>
      </c>
      <c r="B121" s="11" t="s">
        <v>362</v>
      </c>
      <c r="C121" s="36"/>
      <c r="D121" s="28"/>
      <c r="E121" s="28"/>
      <c r="F121" s="25">
        <v>3.5</v>
      </c>
      <c r="G121" s="28"/>
      <c r="H121" s="28"/>
      <c r="I121" s="61"/>
      <c r="J121" s="62"/>
      <c r="K121" s="28"/>
      <c r="L121" s="62"/>
      <c r="M121" s="62"/>
      <c r="N121" s="62"/>
      <c r="O121" s="25">
        <v>5</v>
      </c>
      <c r="P121" s="25">
        <v>31</v>
      </c>
      <c r="Q121" s="23"/>
      <c r="R121" s="23"/>
      <c r="S121" s="23"/>
      <c r="T121" s="32"/>
    </row>
    <row r="122" spans="1:20" ht="18.75" customHeight="1">
      <c r="A122" s="34">
        <v>7</v>
      </c>
      <c r="B122" s="11" t="s">
        <v>363</v>
      </c>
      <c r="C122" s="36">
        <v>12</v>
      </c>
      <c r="D122" s="28"/>
      <c r="E122" s="28"/>
      <c r="F122" s="25"/>
      <c r="G122" s="28"/>
      <c r="H122" s="28"/>
      <c r="I122" s="61"/>
      <c r="J122" s="62"/>
      <c r="K122" s="28"/>
      <c r="L122" s="62"/>
      <c r="M122" s="62"/>
      <c r="N122" s="62"/>
      <c r="O122" s="25">
        <v>6</v>
      </c>
      <c r="P122" s="25"/>
      <c r="Q122" s="23"/>
      <c r="R122" s="23">
        <v>44</v>
      </c>
      <c r="S122" s="23"/>
      <c r="T122" s="32"/>
    </row>
    <row r="123" spans="1:20" ht="18.75" customHeight="1">
      <c r="A123" s="34">
        <v>8</v>
      </c>
      <c r="B123" s="11" t="s">
        <v>364</v>
      </c>
      <c r="C123" s="36">
        <v>7</v>
      </c>
      <c r="D123" s="28"/>
      <c r="E123" s="28"/>
      <c r="F123" s="25"/>
      <c r="G123" s="28"/>
      <c r="H123" s="28"/>
      <c r="I123" s="61"/>
      <c r="J123" s="62"/>
      <c r="K123" s="28"/>
      <c r="L123" s="62"/>
      <c r="M123" s="62"/>
      <c r="N123" s="62"/>
      <c r="O123" s="25"/>
      <c r="P123" s="25"/>
      <c r="Q123" s="23"/>
      <c r="R123" s="23"/>
      <c r="S123" s="23"/>
      <c r="T123" s="32"/>
    </row>
    <row r="124" spans="1:20" ht="18.75" customHeight="1">
      <c r="A124" s="34">
        <v>9</v>
      </c>
      <c r="B124" s="11" t="s">
        <v>365</v>
      </c>
      <c r="C124" s="36"/>
      <c r="D124" s="28"/>
      <c r="E124" s="28"/>
      <c r="F124" s="25"/>
      <c r="G124" s="28"/>
      <c r="H124" s="28"/>
      <c r="I124" s="61"/>
      <c r="J124" s="62"/>
      <c r="K124" s="28"/>
      <c r="L124" s="62"/>
      <c r="M124" s="62"/>
      <c r="N124" s="62"/>
      <c r="O124" s="25"/>
      <c r="P124" s="25"/>
      <c r="Q124" s="23"/>
      <c r="R124" s="23"/>
      <c r="S124" s="23"/>
      <c r="T124" s="32"/>
    </row>
    <row r="125" spans="1:20" ht="18.75" customHeight="1">
      <c r="A125" s="34">
        <v>10</v>
      </c>
      <c r="B125" s="11" t="s">
        <v>366</v>
      </c>
      <c r="C125" s="36"/>
      <c r="D125" s="28"/>
      <c r="E125" s="28"/>
      <c r="F125" s="25">
        <v>1</v>
      </c>
      <c r="G125" s="28"/>
      <c r="H125" s="28"/>
      <c r="I125" s="61"/>
      <c r="J125" s="62"/>
      <c r="K125" s="23"/>
      <c r="L125" s="62"/>
      <c r="M125" s="62"/>
      <c r="N125" s="62"/>
      <c r="O125" s="25"/>
      <c r="P125" s="25">
        <v>28.5</v>
      </c>
      <c r="Q125" s="23">
        <v>9.5</v>
      </c>
      <c r="R125" s="23"/>
      <c r="S125" s="23"/>
      <c r="T125" s="32"/>
    </row>
    <row r="126" spans="1:20" ht="18.75" customHeight="1">
      <c r="A126" s="34">
        <v>11</v>
      </c>
      <c r="B126" s="11" t="s">
        <v>367</v>
      </c>
      <c r="C126" s="36"/>
      <c r="D126" s="28"/>
      <c r="E126" s="28"/>
      <c r="F126" s="25">
        <v>16</v>
      </c>
      <c r="G126" s="28"/>
      <c r="H126" s="28" t="s">
        <v>438</v>
      </c>
      <c r="I126" s="61"/>
      <c r="J126" s="62"/>
      <c r="K126" s="23"/>
      <c r="L126" s="62"/>
      <c r="M126" s="62"/>
      <c r="N126" s="62"/>
      <c r="O126" s="25"/>
      <c r="P126" s="25"/>
      <c r="Q126" s="23"/>
      <c r="R126" s="23"/>
      <c r="S126" s="23"/>
      <c r="T126" s="32"/>
    </row>
    <row r="127" spans="1:20" ht="18.75" customHeight="1">
      <c r="A127" s="34">
        <v>12</v>
      </c>
      <c r="B127" s="11" t="s">
        <v>368</v>
      </c>
      <c r="C127" s="36"/>
      <c r="D127" s="28"/>
      <c r="E127" s="28"/>
      <c r="F127" s="25"/>
      <c r="G127" s="28"/>
      <c r="H127" s="28"/>
      <c r="I127" s="61"/>
      <c r="J127" s="62"/>
      <c r="K127" s="28"/>
      <c r="L127" s="62"/>
      <c r="M127" s="62"/>
      <c r="N127" s="62"/>
      <c r="O127" s="25"/>
      <c r="P127" s="25"/>
      <c r="Q127" s="23"/>
      <c r="R127" s="23"/>
      <c r="S127" s="23"/>
      <c r="T127" s="32"/>
    </row>
    <row r="128" spans="1:20" ht="18.75" customHeight="1">
      <c r="A128" s="34">
        <v>13</v>
      </c>
      <c r="B128" s="11" t="s">
        <v>369</v>
      </c>
      <c r="C128" s="36"/>
      <c r="D128" s="28"/>
      <c r="E128" s="28"/>
      <c r="F128" s="25"/>
      <c r="G128" s="28"/>
      <c r="H128" s="28"/>
      <c r="I128" s="61"/>
      <c r="J128" s="62"/>
      <c r="K128" s="28"/>
      <c r="L128" s="62"/>
      <c r="M128" s="62"/>
      <c r="N128" s="62"/>
      <c r="O128" s="25"/>
      <c r="P128" s="25"/>
      <c r="Q128" s="23"/>
      <c r="R128" s="23"/>
      <c r="S128" s="23"/>
      <c r="T128" s="32"/>
    </row>
    <row r="129" spans="1:22" ht="18.75" customHeight="1">
      <c r="A129" s="34">
        <v>14</v>
      </c>
      <c r="B129" s="11" t="s">
        <v>370</v>
      </c>
      <c r="C129" s="36"/>
      <c r="D129" s="28"/>
      <c r="E129" s="28"/>
      <c r="F129" s="25"/>
      <c r="G129" s="28"/>
      <c r="H129" s="28"/>
      <c r="I129" s="61"/>
      <c r="J129" s="62"/>
      <c r="K129" s="28"/>
      <c r="L129" s="62"/>
      <c r="M129" s="62"/>
      <c r="N129" s="62"/>
      <c r="O129" s="25"/>
      <c r="P129" s="25"/>
      <c r="Q129" s="23"/>
      <c r="R129" s="23"/>
      <c r="S129" s="23"/>
      <c r="T129" s="32"/>
    </row>
    <row r="130" spans="1:22" ht="18.75" customHeight="1">
      <c r="A130" s="63" t="s">
        <v>371</v>
      </c>
      <c r="B130" s="64"/>
      <c r="C130" s="65"/>
      <c r="D130" s="28"/>
      <c r="E130" s="28"/>
      <c r="F130" s="25"/>
      <c r="G130" s="28"/>
      <c r="H130" s="28"/>
      <c r="I130" s="61"/>
      <c r="J130" s="62"/>
      <c r="K130" s="28"/>
      <c r="L130" s="62"/>
      <c r="M130" s="62"/>
      <c r="N130" s="62"/>
      <c r="O130" s="25"/>
      <c r="P130" s="25"/>
      <c r="Q130" s="23"/>
      <c r="R130" s="23"/>
      <c r="S130" s="23"/>
      <c r="T130" s="32"/>
    </row>
    <row r="131" spans="1:22" ht="18.75" customHeight="1">
      <c r="A131" s="34">
        <v>1</v>
      </c>
      <c r="B131" s="11" t="s">
        <v>372</v>
      </c>
      <c r="C131" s="36"/>
      <c r="D131" s="28"/>
      <c r="E131" s="28"/>
      <c r="F131" s="25"/>
      <c r="G131" s="28"/>
      <c r="H131" s="28"/>
      <c r="I131" s="61"/>
      <c r="J131" s="62"/>
      <c r="K131" s="28"/>
      <c r="L131" s="62"/>
      <c r="M131" s="62"/>
      <c r="N131" s="62"/>
      <c r="O131" s="25"/>
      <c r="P131" s="25"/>
      <c r="Q131" s="23"/>
      <c r="R131" s="23"/>
      <c r="S131" s="23"/>
      <c r="T131" s="32"/>
    </row>
    <row r="132" spans="1:22" ht="18.75" customHeight="1">
      <c r="A132" s="34">
        <v>2</v>
      </c>
      <c r="B132" s="34" t="s">
        <v>373</v>
      </c>
      <c r="C132" s="12"/>
      <c r="D132" s="28"/>
      <c r="E132" s="28"/>
      <c r="F132" s="25"/>
      <c r="G132" s="28"/>
      <c r="H132" s="28"/>
      <c r="I132" s="61"/>
      <c r="J132" s="62"/>
      <c r="K132" s="23"/>
      <c r="L132" s="62"/>
      <c r="M132" s="62"/>
      <c r="N132" s="62"/>
      <c r="O132" s="25"/>
      <c r="P132" s="25"/>
      <c r="Q132" s="23"/>
      <c r="R132" s="23"/>
      <c r="S132" s="23"/>
      <c r="T132" s="32"/>
    </row>
    <row r="133" spans="1:22" ht="18.75" customHeight="1">
      <c r="A133" s="34">
        <v>3</v>
      </c>
      <c r="B133" s="11" t="s">
        <v>374</v>
      </c>
      <c r="C133" s="36"/>
      <c r="D133" s="28"/>
      <c r="E133" s="28"/>
      <c r="F133" s="25">
        <v>20</v>
      </c>
      <c r="G133" s="28"/>
      <c r="H133" s="28"/>
      <c r="I133" s="61"/>
      <c r="J133" s="62"/>
      <c r="K133" s="28"/>
      <c r="L133" s="62"/>
      <c r="M133" s="62"/>
      <c r="N133" s="62"/>
      <c r="O133" s="25"/>
      <c r="P133" s="25"/>
      <c r="Q133" s="23"/>
      <c r="R133" s="23"/>
      <c r="S133" s="23"/>
      <c r="T133" s="32"/>
    </row>
    <row r="134" spans="1:22" ht="18.75" customHeight="1">
      <c r="A134" s="34">
        <v>4</v>
      </c>
      <c r="B134" s="11" t="s">
        <v>375</v>
      </c>
      <c r="C134" s="36"/>
      <c r="D134" s="28"/>
      <c r="E134" s="28"/>
      <c r="F134" s="25"/>
      <c r="G134" s="28"/>
      <c r="H134" s="28"/>
      <c r="I134" s="61"/>
      <c r="J134" s="62"/>
      <c r="K134" s="28"/>
      <c r="L134" s="62"/>
      <c r="M134" s="62"/>
      <c r="N134" s="62"/>
      <c r="O134" s="25"/>
      <c r="P134" s="25"/>
      <c r="Q134" s="23"/>
      <c r="R134" s="23"/>
      <c r="S134" s="23"/>
      <c r="T134" s="32"/>
    </row>
    <row r="135" spans="1:22" ht="18.75" customHeight="1">
      <c r="A135" s="34">
        <v>5</v>
      </c>
      <c r="B135" s="34" t="s">
        <v>376</v>
      </c>
      <c r="C135" s="36"/>
      <c r="D135" s="28"/>
      <c r="E135" s="28"/>
      <c r="F135" s="25"/>
      <c r="G135" s="28"/>
      <c r="H135" s="28"/>
      <c r="I135" s="61"/>
      <c r="J135" s="62"/>
      <c r="K135" s="28"/>
      <c r="L135" s="62"/>
      <c r="M135" s="62"/>
      <c r="N135" s="62"/>
      <c r="O135" s="25"/>
      <c r="P135" s="25"/>
      <c r="Q135" s="23"/>
      <c r="R135" s="23"/>
      <c r="S135" s="23"/>
      <c r="T135" s="32"/>
    </row>
    <row r="136" spans="1:22" ht="18.75" customHeight="1">
      <c r="A136" s="34">
        <v>6</v>
      </c>
      <c r="B136" s="34" t="s">
        <v>377</v>
      </c>
      <c r="D136" s="28"/>
      <c r="E136" s="28"/>
      <c r="F136" s="25"/>
      <c r="G136" s="28"/>
      <c r="H136" s="28"/>
      <c r="I136" s="61">
        <v>1</v>
      </c>
      <c r="J136" s="16">
        <f t="shared" ref="J136" si="8">I136*8</f>
        <v>8</v>
      </c>
      <c r="K136" s="17"/>
      <c r="L136" s="16"/>
      <c r="M136" s="16"/>
      <c r="N136" s="16">
        <f t="shared" ref="N136" si="9">M136+L136+J136</f>
        <v>8</v>
      </c>
      <c r="O136" s="25"/>
      <c r="P136" s="25"/>
      <c r="Q136" s="23"/>
      <c r="R136" s="23"/>
      <c r="S136" s="23"/>
      <c r="T136" s="32"/>
    </row>
    <row r="137" spans="1:22" ht="18.75" customHeight="1">
      <c r="A137" s="34">
        <v>7</v>
      </c>
      <c r="B137" s="34" t="s">
        <v>378</v>
      </c>
      <c r="C137" s="36"/>
      <c r="D137" s="28"/>
      <c r="E137" s="28"/>
      <c r="F137" s="25"/>
      <c r="G137" s="28"/>
      <c r="H137" s="28"/>
      <c r="I137" s="61"/>
      <c r="J137" s="62"/>
      <c r="K137" s="23"/>
      <c r="L137" s="62"/>
      <c r="M137" s="62"/>
      <c r="N137" s="62"/>
      <c r="O137" s="25"/>
      <c r="P137" s="25"/>
      <c r="Q137" s="23"/>
      <c r="R137" s="23"/>
      <c r="S137" s="23"/>
      <c r="T137" s="32"/>
      <c r="U137" s="72"/>
    </row>
    <row r="138" spans="1:22" ht="18.75" customHeight="1">
      <c r="A138" s="34">
        <v>8</v>
      </c>
      <c r="B138" s="71" t="s">
        <v>379</v>
      </c>
      <c r="C138" s="12"/>
      <c r="D138" s="28"/>
      <c r="E138" s="28"/>
      <c r="F138" s="25"/>
      <c r="G138" s="28"/>
      <c r="H138" s="28" t="s">
        <v>492</v>
      </c>
      <c r="I138" s="61"/>
      <c r="J138" s="62"/>
      <c r="K138" s="28"/>
      <c r="L138" s="62"/>
      <c r="M138" s="62"/>
      <c r="N138" s="62"/>
      <c r="O138" s="25"/>
      <c r="P138" s="25"/>
      <c r="Q138" s="23"/>
      <c r="R138" s="23"/>
      <c r="S138" s="23"/>
      <c r="T138" s="32"/>
    </row>
    <row r="139" spans="1:22" ht="18.75" customHeight="1">
      <c r="A139" s="34">
        <v>9</v>
      </c>
      <c r="B139" s="34" t="s">
        <v>380</v>
      </c>
      <c r="C139" s="12"/>
      <c r="D139" s="28"/>
      <c r="E139" s="28"/>
      <c r="F139" s="25"/>
      <c r="G139" s="23"/>
      <c r="H139" s="23"/>
      <c r="I139" s="23"/>
      <c r="J139" s="62"/>
      <c r="K139" s="28"/>
      <c r="L139" s="62"/>
      <c r="M139" s="62"/>
      <c r="N139" s="62"/>
      <c r="O139" s="25"/>
      <c r="P139" s="25"/>
      <c r="Q139" s="23"/>
      <c r="R139" s="23"/>
      <c r="S139" s="23"/>
      <c r="T139" s="34"/>
      <c r="U139" s="72"/>
    </row>
    <row r="140" spans="1:22" ht="18.75" customHeight="1">
      <c r="A140" s="34">
        <v>10</v>
      </c>
      <c r="B140" s="11" t="s">
        <v>381</v>
      </c>
      <c r="C140" s="36">
        <v>2</v>
      </c>
      <c r="D140" s="28"/>
      <c r="E140" s="28"/>
      <c r="F140" s="25"/>
      <c r="G140" s="28"/>
      <c r="H140" s="28"/>
      <c r="I140" s="61"/>
      <c r="J140" s="62"/>
      <c r="K140" s="28"/>
      <c r="L140" s="62"/>
      <c r="M140" s="62"/>
      <c r="N140" s="62"/>
      <c r="O140" s="25"/>
      <c r="P140" s="25"/>
      <c r="Q140" s="23"/>
      <c r="R140" s="23"/>
      <c r="S140" s="23"/>
      <c r="T140" s="32"/>
    </row>
    <row r="141" spans="1:22" ht="18.75" customHeight="1">
      <c r="A141" s="34">
        <v>11</v>
      </c>
      <c r="B141" s="34" t="s">
        <v>382</v>
      </c>
      <c r="C141" s="12"/>
      <c r="D141" s="28"/>
      <c r="E141" s="28"/>
      <c r="F141" s="25"/>
      <c r="G141" s="61"/>
      <c r="H141" s="23"/>
      <c r="I141" s="25">
        <v>2</v>
      </c>
      <c r="J141" s="16">
        <f t="shared" ref="J141" si="10">I141*8</f>
        <v>16</v>
      </c>
      <c r="K141" s="17"/>
      <c r="L141" s="16"/>
      <c r="M141" s="16"/>
      <c r="N141" s="16">
        <f t="shared" ref="N141" si="11">M141+L141+J141</f>
        <v>16</v>
      </c>
      <c r="O141" s="25">
        <v>3</v>
      </c>
      <c r="P141" s="25">
        <v>13</v>
      </c>
      <c r="Q141" s="23"/>
      <c r="R141" s="23"/>
      <c r="S141" s="23"/>
      <c r="T141" s="34"/>
      <c r="U141" s="74"/>
      <c r="V141" s="72"/>
    </row>
    <row r="142" spans="1:22" ht="18.75" customHeight="1">
      <c r="A142" s="34">
        <v>12</v>
      </c>
      <c r="B142" s="71" t="s">
        <v>383</v>
      </c>
      <c r="C142" s="36" t="s">
        <v>483</v>
      </c>
      <c r="D142" s="28"/>
      <c r="E142" s="28"/>
      <c r="F142" s="25"/>
      <c r="G142" s="28"/>
      <c r="H142" s="28"/>
      <c r="I142" s="61"/>
      <c r="J142" s="62"/>
      <c r="K142" s="23"/>
      <c r="L142" s="62"/>
      <c r="M142" s="62"/>
      <c r="N142" s="62"/>
      <c r="O142" s="25"/>
      <c r="P142" s="25"/>
      <c r="Q142" s="23"/>
      <c r="R142" s="23"/>
      <c r="S142" s="23"/>
      <c r="T142" s="32"/>
    </row>
    <row r="143" spans="1:22" ht="18.75" customHeight="1">
      <c r="A143" s="34">
        <v>13</v>
      </c>
      <c r="B143" s="34" t="s">
        <v>384</v>
      </c>
      <c r="C143" s="12">
        <v>8</v>
      </c>
      <c r="D143" s="28"/>
      <c r="E143" s="28"/>
      <c r="F143" s="25"/>
      <c r="G143" s="28"/>
      <c r="H143" s="28"/>
      <c r="I143" s="61"/>
      <c r="J143" s="62"/>
      <c r="K143" s="28"/>
      <c r="L143" s="62"/>
      <c r="M143" s="62"/>
      <c r="N143" s="62"/>
      <c r="O143" s="25">
        <v>2</v>
      </c>
      <c r="P143" s="25">
        <v>18.5</v>
      </c>
      <c r="Q143" s="23"/>
      <c r="R143" s="23"/>
      <c r="S143" s="23"/>
      <c r="T143" s="32"/>
    </row>
    <row r="144" spans="1:22" ht="18.75" customHeight="1">
      <c r="A144" s="34">
        <v>14</v>
      </c>
      <c r="B144" s="34" t="s">
        <v>385</v>
      </c>
      <c r="C144" s="12"/>
      <c r="D144" s="28"/>
      <c r="E144" s="28"/>
      <c r="F144" s="25"/>
      <c r="G144" s="28"/>
      <c r="H144" s="28"/>
      <c r="I144" s="61"/>
      <c r="J144" s="62"/>
      <c r="K144" s="28"/>
      <c r="L144" s="62"/>
      <c r="M144" s="62"/>
      <c r="N144" s="62"/>
      <c r="O144" s="25"/>
      <c r="P144" s="25"/>
      <c r="Q144" s="23"/>
      <c r="R144" s="23"/>
      <c r="S144" s="23"/>
      <c r="T144" s="32"/>
    </row>
    <row r="145" spans="1:22" ht="18.75" customHeight="1">
      <c r="A145" s="34">
        <v>15</v>
      </c>
      <c r="B145" s="71" t="s">
        <v>386</v>
      </c>
      <c r="C145" s="12"/>
      <c r="D145" s="28"/>
      <c r="E145" s="28"/>
      <c r="F145" s="25"/>
      <c r="G145" s="28"/>
      <c r="H145" s="28"/>
      <c r="I145" s="61"/>
      <c r="J145" s="62"/>
      <c r="K145" s="28"/>
      <c r="L145" s="62"/>
      <c r="M145" s="62"/>
      <c r="N145" s="62"/>
      <c r="O145" s="25">
        <v>3</v>
      </c>
      <c r="P145" s="25">
        <v>5</v>
      </c>
      <c r="Q145" s="23"/>
      <c r="R145" s="23"/>
      <c r="S145" s="23"/>
      <c r="T145" s="32"/>
    </row>
    <row r="146" spans="1:22" ht="18.75" customHeight="1">
      <c r="A146" s="34">
        <v>16</v>
      </c>
      <c r="B146" s="34" t="s">
        <v>387</v>
      </c>
      <c r="C146" s="12"/>
      <c r="D146" s="28"/>
      <c r="E146" s="28"/>
      <c r="F146" s="25">
        <v>40</v>
      </c>
      <c r="G146" s="23"/>
      <c r="H146" s="23"/>
      <c r="I146" s="61"/>
      <c r="J146" s="62"/>
      <c r="K146" s="28"/>
      <c r="L146" s="62"/>
      <c r="M146" s="62"/>
      <c r="N146" s="62"/>
      <c r="O146" s="25"/>
      <c r="P146" s="25"/>
      <c r="Q146" s="23"/>
      <c r="R146" s="23"/>
      <c r="S146" s="23"/>
      <c r="T146" s="34"/>
      <c r="U146" s="74"/>
      <c r="V146" s="72"/>
    </row>
    <row r="147" spans="1:22" ht="18.75" customHeight="1">
      <c r="A147" s="34">
        <v>17</v>
      </c>
      <c r="B147" s="34" t="s">
        <v>388</v>
      </c>
      <c r="C147" s="12"/>
      <c r="D147" s="28"/>
      <c r="E147" s="28"/>
      <c r="F147" s="25"/>
      <c r="G147" s="23"/>
      <c r="H147" s="23"/>
      <c r="I147" s="23"/>
      <c r="J147" s="62"/>
      <c r="K147" s="28"/>
      <c r="L147" s="62"/>
      <c r="M147" s="62"/>
      <c r="N147" s="62"/>
      <c r="O147" s="25">
        <v>33</v>
      </c>
      <c r="P147" s="25"/>
      <c r="Q147" s="23"/>
      <c r="R147" s="23"/>
      <c r="S147" s="23"/>
      <c r="T147" s="34"/>
      <c r="U147" s="72"/>
    </row>
    <row r="148" spans="1:22" ht="18.75" customHeight="1">
      <c r="A148" s="34">
        <v>18</v>
      </c>
      <c r="B148" s="34" t="s">
        <v>389</v>
      </c>
      <c r="C148" s="12"/>
      <c r="D148" s="28"/>
      <c r="E148" s="28"/>
      <c r="F148" s="25"/>
      <c r="G148" s="23"/>
      <c r="H148" s="23"/>
      <c r="I148" s="23"/>
      <c r="J148" s="62"/>
      <c r="K148" s="28"/>
      <c r="L148" s="62"/>
      <c r="M148" s="62"/>
      <c r="N148" s="62"/>
      <c r="O148" s="25"/>
      <c r="P148" s="25"/>
      <c r="Q148" s="23"/>
      <c r="R148" s="23"/>
      <c r="S148" s="23"/>
      <c r="T148" s="34"/>
      <c r="U148" s="72"/>
    </row>
    <row r="149" spans="1:22" ht="18.75" customHeight="1">
      <c r="A149" s="34">
        <v>19</v>
      </c>
      <c r="B149" s="34" t="s">
        <v>390</v>
      </c>
      <c r="C149" s="12"/>
      <c r="D149" s="28"/>
      <c r="E149" s="28"/>
      <c r="F149" s="25"/>
      <c r="G149" s="28"/>
      <c r="H149" s="28"/>
      <c r="I149" s="61">
        <v>10</v>
      </c>
      <c r="J149" s="16">
        <f t="shared" ref="J149" si="12">I149*8</f>
        <v>80</v>
      </c>
      <c r="K149" s="17"/>
      <c r="L149" s="16"/>
      <c r="M149" s="16"/>
      <c r="N149" s="16">
        <f t="shared" ref="N149" si="13">M149+L149+J149</f>
        <v>80</v>
      </c>
      <c r="O149" s="25"/>
      <c r="P149" s="25">
        <v>36</v>
      </c>
      <c r="Q149" s="23"/>
      <c r="R149" s="23"/>
      <c r="S149" s="23"/>
      <c r="T149" s="32"/>
    </row>
    <row r="150" spans="1:22" ht="18.75" customHeight="1">
      <c r="A150" s="34">
        <v>20</v>
      </c>
      <c r="B150" s="34" t="s">
        <v>466</v>
      </c>
      <c r="C150" s="12" t="s">
        <v>467</v>
      </c>
      <c r="D150" s="28"/>
      <c r="E150" s="28"/>
      <c r="F150" s="25"/>
      <c r="G150" s="28"/>
      <c r="H150" s="28"/>
      <c r="I150" s="61"/>
      <c r="J150" s="62"/>
      <c r="K150" s="28"/>
      <c r="L150" s="62"/>
      <c r="M150" s="62"/>
      <c r="N150" s="62"/>
      <c r="O150" s="25"/>
      <c r="P150" s="25"/>
      <c r="Q150" s="23"/>
      <c r="R150" s="23"/>
      <c r="S150" s="23"/>
      <c r="T150" s="32"/>
    </row>
    <row r="151" spans="1:22" ht="18.75" customHeight="1">
      <c r="A151" s="63" t="s">
        <v>391</v>
      </c>
      <c r="B151" s="64"/>
      <c r="C151" s="65"/>
      <c r="D151" s="28"/>
      <c r="E151" s="28"/>
      <c r="F151" s="25"/>
      <c r="G151" s="28"/>
      <c r="H151" s="28"/>
      <c r="I151" s="61"/>
      <c r="J151" s="62"/>
      <c r="K151" s="28"/>
      <c r="L151" s="62"/>
      <c r="M151" s="62"/>
      <c r="N151" s="62"/>
      <c r="O151" s="25"/>
      <c r="P151" s="25"/>
      <c r="Q151" s="23"/>
      <c r="R151" s="23"/>
      <c r="S151" s="23"/>
      <c r="T151" s="32"/>
    </row>
    <row r="152" spans="1:22" ht="18.75" customHeight="1">
      <c r="A152" s="34">
        <v>1</v>
      </c>
      <c r="B152" s="34" t="s">
        <v>392</v>
      </c>
      <c r="C152" s="12"/>
      <c r="D152" s="28"/>
      <c r="E152" s="28"/>
      <c r="F152" s="25"/>
      <c r="G152" s="28"/>
      <c r="H152" s="28"/>
      <c r="I152" s="61">
        <v>2</v>
      </c>
      <c r="J152" s="16">
        <f t="shared" ref="J152" si="14">I152*8</f>
        <v>16</v>
      </c>
      <c r="K152" s="17"/>
      <c r="L152" s="16"/>
      <c r="M152" s="16"/>
      <c r="N152" s="16">
        <f t="shared" ref="N152" si="15">M152+L152+J152</f>
        <v>16</v>
      </c>
      <c r="O152" s="25"/>
      <c r="P152" s="25">
        <v>31</v>
      </c>
      <c r="Q152" s="23">
        <v>9</v>
      </c>
      <c r="R152" s="23"/>
      <c r="S152" s="23"/>
      <c r="T152" s="32"/>
    </row>
    <row r="153" spans="1:22" ht="18.75" customHeight="1">
      <c r="A153" s="34">
        <v>2</v>
      </c>
      <c r="B153" s="34" t="s">
        <v>394</v>
      </c>
      <c r="C153" s="12" t="s">
        <v>489</v>
      </c>
      <c r="D153" s="28"/>
      <c r="E153" s="28"/>
      <c r="F153" s="25"/>
      <c r="G153" s="28"/>
      <c r="H153" s="28"/>
      <c r="I153" s="61"/>
      <c r="J153" s="62"/>
      <c r="K153" s="23"/>
      <c r="L153" s="62"/>
      <c r="M153" s="62"/>
      <c r="N153" s="62"/>
      <c r="O153" s="25"/>
      <c r="P153" s="25">
        <v>28</v>
      </c>
      <c r="Q153" s="23"/>
      <c r="R153" s="23">
        <v>40</v>
      </c>
      <c r="S153" s="23"/>
      <c r="T153" s="32"/>
    </row>
    <row r="154" spans="1:22" ht="18.75" customHeight="1">
      <c r="A154" s="34">
        <v>3</v>
      </c>
      <c r="B154" s="34" t="s">
        <v>395</v>
      </c>
      <c r="C154" s="54"/>
      <c r="D154" s="28"/>
      <c r="E154" s="28"/>
      <c r="F154" s="25"/>
      <c r="G154" s="23"/>
      <c r="H154" s="28"/>
      <c r="I154" s="61"/>
      <c r="J154" s="62"/>
      <c r="K154" s="23"/>
      <c r="L154" s="62"/>
      <c r="M154" s="62"/>
      <c r="N154" s="62"/>
      <c r="O154" s="25"/>
      <c r="P154" s="25">
        <v>30</v>
      </c>
      <c r="Q154" s="23"/>
      <c r="R154" s="23">
        <v>10</v>
      </c>
      <c r="S154" s="23"/>
      <c r="T154" s="32"/>
    </row>
    <row r="155" spans="1:22" ht="18.75" customHeight="1">
      <c r="A155" s="34">
        <v>4</v>
      </c>
      <c r="B155" s="34" t="s">
        <v>396</v>
      </c>
      <c r="C155" s="54">
        <v>3</v>
      </c>
      <c r="D155" s="28"/>
      <c r="E155" s="23"/>
      <c r="F155" s="25"/>
      <c r="G155" s="61"/>
      <c r="H155" s="28"/>
      <c r="I155" s="61"/>
      <c r="J155" s="62"/>
      <c r="K155" s="23"/>
      <c r="L155" s="62"/>
      <c r="M155" s="62"/>
      <c r="N155" s="62"/>
      <c r="O155" s="25">
        <v>4</v>
      </c>
      <c r="P155" s="25">
        <v>20</v>
      </c>
      <c r="Q155" s="23"/>
      <c r="R155" s="23"/>
      <c r="S155" s="23"/>
      <c r="T155" s="32"/>
    </row>
    <row r="156" spans="1:22" ht="18.75" customHeight="1">
      <c r="A156" s="34">
        <v>5</v>
      </c>
      <c r="B156" s="34" t="s">
        <v>397</v>
      </c>
      <c r="C156" s="36"/>
      <c r="D156" s="23"/>
      <c r="E156" s="27"/>
      <c r="F156" s="25"/>
      <c r="G156" s="28"/>
      <c r="H156" s="28"/>
      <c r="I156" s="61">
        <v>11.5</v>
      </c>
      <c r="J156" s="62">
        <f t="shared" ref="J156:J158" si="16">I156*8</f>
        <v>92</v>
      </c>
      <c r="K156" s="23">
        <v>1</v>
      </c>
      <c r="L156" s="16">
        <f t="shared" ref="L156" si="17">K156*12</f>
        <v>12</v>
      </c>
      <c r="M156" s="16">
        <f t="shared" ref="M156" si="18">K156*4</f>
        <v>4</v>
      </c>
      <c r="N156" s="62">
        <f t="shared" ref="N156:N158" si="19">M156+L156+J156</f>
        <v>108</v>
      </c>
      <c r="O156" s="25">
        <v>16</v>
      </c>
      <c r="P156" s="25"/>
      <c r="Q156" s="23"/>
      <c r="R156" s="23">
        <v>25</v>
      </c>
      <c r="S156" s="23"/>
      <c r="T156" s="32"/>
    </row>
    <row r="157" spans="1:22" ht="18.75" customHeight="1">
      <c r="A157" s="34">
        <v>6</v>
      </c>
      <c r="B157" s="34" t="s">
        <v>398</v>
      </c>
      <c r="C157" s="36"/>
      <c r="D157" s="23"/>
      <c r="E157" s="27"/>
      <c r="F157" s="25"/>
      <c r="G157" s="28"/>
      <c r="H157" s="28"/>
      <c r="I157" s="61">
        <v>12</v>
      </c>
      <c r="J157" s="62">
        <f t="shared" si="16"/>
        <v>96</v>
      </c>
      <c r="K157" s="23"/>
      <c r="L157" s="16"/>
      <c r="M157" s="16"/>
      <c r="N157" s="62">
        <f t="shared" si="19"/>
        <v>96</v>
      </c>
      <c r="O157" s="25"/>
      <c r="P157" s="25"/>
      <c r="Q157" s="23"/>
      <c r="R157" s="23"/>
      <c r="S157" s="23"/>
      <c r="T157" s="32"/>
    </row>
    <row r="158" spans="1:22" ht="18.75" customHeight="1">
      <c r="A158" s="34">
        <v>7</v>
      </c>
      <c r="B158" s="34" t="s">
        <v>399</v>
      </c>
      <c r="C158" s="36"/>
      <c r="D158" s="23"/>
      <c r="E158" s="27"/>
      <c r="F158" s="25"/>
      <c r="G158" s="28"/>
      <c r="H158" s="28"/>
      <c r="I158" s="61">
        <v>5</v>
      </c>
      <c r="J158" s="62">
        <f t="shared" si="16"/>
        <v>40</v>
      </c>
      <c r="K158" s="23"/>
      <c r="L158" s="16"/>
      <c r="M158" s="16"/>
      <c r="N158" s="62">
        <f t="shared" si="19"/>
        <v>40</v>
      </c>
      <c r="O158" s="25">
        <v>12</v>
      </c>
      <c r="P158" s="25"/>
      <c r="Q158" s="23"/>
      <c r="R158" s="23">
        <v>28</v>
      </c>
      <c r="S158" s="23"/>
      <c r="T158" s="32"/>
    </row>
    <row r="159" spans="1:22" ht="18.75" customHeight="1">
      <c r="A159" s="34">
        <v>8</v>
      </c>
      <c r="B159" s="34" t="s">
        <v>400</v>
      </c>
      <c r="C159" s="36"/>
      <c r="D159" s="23"/>
      <c r="E159" s="27"/>
      <c r="F159" s="25"/>
      <c r="G159" s="28"/>
      <c r="H159" s="28"/>
      <c r="I159" s="30"/>
      <c r="J159" s="16"/>
      <c r="K159" s="17"/>
      <c r="L159" s="16"/>
      <c r="M159" s="16"/>
      <c r="N159" s="16"/>
      <c r="O159" s="25"/>
      <c r="P159" s="25"/>
      <c r="Q159" s="23"/>
      <c r="R159" s="23"/>
      <c r="S159" s="23"/>
      <c r="T159" s="32"/>
    </row>
    <row r="160" spans="1:22" ht="18.75" customHeight="1">
      <c r="A160" s="63" t="s">
        <v>401</v>
      </c>
      <c r="B160" s="64"/>
      <c r="C160" s="65"/>
      <c r="D160" s="28"/>
      <c r="E160" s="28"/>
      <c r="F160" s="25"/>
      <c r="G160" s="28"/>
      <c r="H160" s="28"/>
      <c r="I160" s="61"/>
      <c r="J160" s="62"/>
      <c r="K160" s="28"/>
      <c r="L160" s="62"/>
      <c r="M160" s="62"/>
      <c r="N160" s="62"/>
      <c r="O160" s="25"/>
      <c r="P160" s="25"/>
      <c r="Q160" s="23"/>
      <c r="R160" s="23"/>
      <c r="S160" s="23"/>
      <c r="T160" s="32"/>
    </row>
    <row r="161" spans="1:22" ht="18.75" customHeight="1">
      <c r="A161" s="34">
        <v>1</v>
      </c>
      <c r="B161" s="34" t="s">
        <v>402</v>
      </c>
      <c r="C161" s="12"/>
      <c r="D161" s="28"/>
      <c r="E161" s="28"/>
      <c r="F161" s="25">
        <v>5</v>
      </c>
      <c r="G161" s="28"/>
      <c r="H161" s="28"/>
      <c r="I161" s="61">
        <v>1</v>
      </c>
      <c r="J161" s="62">
        <f>I161*8</f>
        <v>8</v>
      </c>
      <c r="K161" s="28"/>
      <c r="L161" s="16"/>
      <c r="M161" s="16"/>
      <c r="N161" s="62">
        <f>M161+L161+J161</f>
        <v>8</v>
      </c>
      <c r="O161" s="25"/>
      <c r="P161" s="25">
        <v>20.5</v>
      </c>
      <c r="Q161" s="23"/>
      <c r="R161" s="23"/>
      <c r="S161" s="23"/>
      <c r="T161" s="32"/>
    </row>
    <row r="162" spans="1:22" ht="18.75" customHeight="1">
      <c r="A162" s="34">
        <v>2</v>
      </c>
      <c r="B162" s="34" t="s">
        <v>403</v>
      </c>
      <c r="C162" s="12"/>
      <c r="D162" s="28"/>
      <c r="E162" s="28"/>
      <c r="F162" s="25"/>
      <c r="G162" s="28"/>
      <c r="H162" s="28"/>
      <c r="I162" s="61">
        <v>5</v>
      </c>
      <c r="J162" s="62">
        <f>I162*8</f>
        <v>40</v>
      </c>
      <c r="K162" s="28"/>
      <c r="L162" s="16"/>
      <c r="M162" s="16"/>
      <c r="N162" s="62">
        <f>M162+L162+J162</f>
        <v>40</v>
      </c>
      <c r="O162" s="25"/>
      <c r="P162" s="25">
        <v>20</v>
      </c>
      <c r="Q162" s="23"/>
      <c r="R162" s="23"/>
      <c r="S162" s="23"/>
      <c r="T162" s="32"/>
    </row>
    <row r="163" spans="1:22" ht="18.75" customHeight="1">
      <c r="A163" s="34">
        <v>3</v>
      </c>
      <c r="B163" s="34" t="s">
        <v>404</v>
      </c>
      <c r="C163" s="12"/>
      <c r="D163" s="28"/>
      <c r="E163" s="28"/>
      <c r="F163" s="25">
        <v>8</v>
      </c>
      <c r="G163" s="28"/>
      <c r="H163" s="28"/>
      <c r="I163" s="61">
        <v>3</v>
      </c>
      <c r="J163" s="62">
        <f>I163*8</f>
        <v>24</v>
      </c>
      <c r="K163" s="28"/>
      <c r="L163" s="16"/>
      <c r="M163" s="16"/>
      <c r="N163" s="62">
        <f>M163+L163+J163</f>
        <v>24</v>
      </c>
      <c r="O163" s="25"/>
      <c r="P163" s="25">
        <v>24</v>
      </c>
      <c r="Q163" s="23"/>
      <c r="R163" s="23"/>
      <c r="S163" s="23"/>
      <c r="T163" s="32"/>
    </row>
    <row r="164" spans="1:22" ht="18.75" customHeight="1">
      <c r="A164" s="34">
        <v>4</v>
      </c>
      <c r="B164" s="34" t="s">
        <v>405</v>
      </c>
      <c r="C164" s="36" t="s">
        <v>481</v>
      </c>
      <c r="D164" s="28"/>
      <c r="E164" s="28"/>
      <c r="F164" s="25">
        <v>8</v>
      </c>
      <c r="G164" s="28"/>
      <c r="H164" s="28"/>
      <c r="I164" s="61"/>
      <c r="J164" s="62"/>
      <c r="K164" s="28"/>
      <c r="L164" s="16"/>
      <c r="M164" s="16"/>
      <c r="N164" s="16"/>
      <c r="O164" s="25"/>
      <c r="P164" s="25"/>
      <c r="Q164" s="23"/>
      <c r="R164" s="23"/>
      <c r="S164" s="23"/>
      <c r="T164" s="32"/>
    </row>
    <row r="165" spans="1:22" ht="18.75" customHeight="1">
      <c r="A165" s="63" t="s">
        <v>406</v>
      </c>
      <c r="B165" s="64"/>
      <c r="C165" s="65"/>
      <c r="D165" s="28"/>
      <c r="E165" s="28"/>
      <c r="F165" s="25"/>
      <c r="G165" s="28"/>
      <c r="H165" s="28"/>
      <c r="I165" s="61"/>
      <c r="J165" s="62"/>
      <c r="K165" s="28"/>
      <c r="L165" s="62"/>
      <c r="M165" s="62"/>
      <c r="N165" s="62"/>
      <c r="O165" s="25"/>
      <c r="P165" s="25"/>
      <c r="Q165" s="23"/>
      <c r="R165" s="23"/>
      <c r="S165" s="23"/>
      <c r="T165" s="32"/>
      <c r="U165" s="74"/>
      <c r="V165" s="72"/>
    </row>
    <row r="166" spans="1:22" ht="18.75" customHeight="1">
      <c r="A166" s="34">
        <v>1</v>
      </c>
      <c r="B166" s="34" t="s">
        <v>407</v>
      </c>
      <c r="C166" s="12"/>
      <c r="D166" s="28"/>
      <c r="E166" s="28"/>
      <c r="F166" s="25"/>
      <c r="G166" s="28"/>
      <c r="H166" s="28"/>
      <c r="I166" s="61">
        <v>1</v>
      </c>
      <c r="J166" s="62">
        <f t="shared" ref="J166:J167" si="20">I166*8</f>
        <v>8</v>
      </c>
      <c r="K166" s="23"/>
      <c r="L166" s="16"/>
      <c r="M166" s="16"/>
      <c r="N166" s="62">
        <f t="shared" ref="N166:N167" si="21">M166+L166+J166</f>
        <v>8</v>
      </c>
      <c r="O166" s="25"/>
      <c r="P166" s="25">
        <v>30</v>
      </c>
      <c r="Q166" s="23"/>
      <c r="R166" s="23"/>
      <c r="S166" s="23"/>
      <c r="T166" s="32"/>
    </row>
    <row r="167" spans="1:22" ht="18.75" customHeight="1">
      <c r="A167" s="34">
        <v>2</v>
      </c>
      <c r="B167" s="34" t="s">
        <v>408</v>
      </c>
      <c r="C167" s="12"/>
      <c r="D167" s="28"/>
      <c r="E167" s="28"/>
      <c r="F167" s="25">
        <v>24</v>
      </c>
      <c r="G167" s="28"/>
      <c r="H167" s="28"/>
      <c r="I167" s="61">
        <v>7</v>
      </c>
      <c r="J167" s="62">
        <f t="shared" si="20"/>
        <v>56</v>
      </c>
      <c r="K167" s="23">
        <v>5</v>
      </c>
      <c r="L167" s="16">
        <f t="shared" ref="L167" si="22">K167*12</f>
        <v>60</v>
      </c>
      <c r="M167" s="16">
        <f t="shared" ref="M167" si="23">K167*4</f>
        <v>20</v>
      </c>
      <c r="N167" s="62">
        <f t="shared" si="21"/>
        <v>136</v>
      </c>
      <c r="O167" s="25"/>
      <c r="P167" s="25"/>
      <c r="Q167" s="23"/>
      <c r="R167" s="23"/>
      <c r="S167" s="23"/>
      <c r="T167" s="32"/>
    </row>
    <row r="168" spans="1:22" ht="18.75" customHeight="1">
      <c r="A168" s="34">
        <v>3</v>
      </c>
      <c r="B168" s="34" t="s">
        <v>409</v>
      </c>
      <c r="C168" s="12"/>
      <c r="D168" s="28"/>
      <c r="E168" s="28"/>
      <c r="F168" s="25"/>
      <c r="G168" s="28"/>
      <c r="H168" s="28"/>
      <c r="I168" s="61"/>
      <c r="J168" s="62"/>
      <c r="K168" s="23"/>
      <c r="L168" s="16"/>
      <c r="M168" s="16"/>
      <c r="N168" s="62"/>
      <c r="O168" s="25"/>
      <c r="P168" s="25"/>
      <c r="Q168" s="23"/>
      <c r="R168" s="23"/>
      <c r="S168" s="23"/>
      <c r="T168" s="32"/>
    </row>
    <row r="169" spans="1:22" ht="18.75" customHeight="1">
      <c r="A169" s="34">
        <v>4</v>
      </c>
      <c r="B169" s="34" t="s">
        <v>410</v>
      </c>
      <c r="C169" s="12"/>
      <c r="D169" s="28"/>
      <c r="E169" s="28"/>
      <c r="F169" s="25"/>
      <c r="G169" s="28"/>
      <c r="H169" s="28"/>
      <c r="I169" s="61">
        <v>7</v>
      </c>
      <c r="J169" s="62">
        <f t="shared" ref="J169:J181" si="24">I169*8</f>
        <v>56</v>
      </c>
      <c r="K169" s="23"/>
      <c r="L169" s="16"/>
      <c r="M169" s="16"/>
      <c r="N169" s="62">
        <f t="shared" ref="N169:N181" si="25">M169+L169+J169</f>
        <v>56</v>
      </c>
      <c r="O169" s="25"/>
      <c r="P169" s="25"/>
      <c r="Q169" s="23"/>
      <c r="R169" s="23"/>
      <c r="S169" s="23"/>
      <c r="T169" s="32"/>
    </row>
    <row r="170" spans="1:22" ht="18.75" customHeight="1">
      <c r="A170" s="34">
        <v>5</v>
      </c>
      <c r="B170" s="34" t="s">
        <v>411</v>
      </c>
      <c r="C170" s="12"/>
      <c r="D170" s="28"/>
      <c r="E170" s="28"/>
      <c r="F170" s="25"/>
      <c r="G170" s="28"/>
      <c r="H170" s="28"/>
      <c r="I170" s="61">
        <v>8</v>
      </c>
      <c r="J170" s="62">
        <f t="shared" si="24"/>
        <v>64</v>
      </c>
      <c r="K170" s="23">
        <v>4</v>
      </c>
      <c r="L170" s="16">
        <f t="shared" ref="L170" si="26">K170*12</f>
        <v>48</v>
      </c>
      <c r="M170" s="16">
        <f t="shared" ref="M170" si="27">K170*4</f>
        <v>16</v>
      </c>
      <c r="N170" s="62">
        <f t="shared" si="25"/>
        <v>128</v>
      </c>
      <c r="O170" s="25"/>
      <c r="P170" s="25"/>
      <c r="Q170" s="23"/>
      <c r="R170" s="23"/>
      <c r="S170" s="23"/>
      <c r="T170" s="32"/>
    </row>
    <row r="171" spans="1:22" ht="18.75" customHeight="1">
      <c r="A171" s="34">
        <v>6</v>
      </c>
      <c r="B171" s="34" t="s">
        <v>412</v>
      </c>
      <c r="C171" s="12"/>
      <c r="D171" s="28"/>
      <c r="E171" s="28"/>
      <c r="F171" s="25"/>
      <c r="G171" s="28"/>
      <c r="H171" s="28"/>
      <c r="I171" s="61">
        <v>7</v>
      </c>
      <c r="J171" s="62">
        <f t="shared" si="24"/>
        <v>56</v>
      </c>
      <c r="K171" s="23"/>
      <c r="L171" s="16"/>
      <c r="M171" s="16"/>
      <c r="N171" s="62">
        <f t="shared" si="25"/>
        <v>56</v>
      </c>
      <c r="O171" s="25"/>
      <c r="P171" s="25"/>
      <c r="Q171" s="23"/>
      <c r="R171" s="23"/>
      <c r="S171" s="23"/>
      <c r="T171" s="32"/>
    </row>
    <row r="172" spans="1:22" ht="18.75" customHeight="1">
      <c r="A172" s="34">
        <v>7</v>
      </c>
      <c r="B172" s="34" t="s">
        <v>413</v>
      </c>
      <c r="C172" s="12"/>
      <c r="D172" s="28"/>
      <c r="E172" s="28"/>
      <c r="F172" s="25"/>
      <c r="G172" s="28"/>
      <c r="H172" s="28"/>
      <c r="I172" s="61">
        <v>5</v>
      </c>
      <c r="J172" s="62">
        <f t="shared" si="24"/>
        <v>40</v>
      </c>
      <c r="K172" s="23"/>
      <c r="L172" s="16"/>
      <c r="M172" s="16"/>
      <c r="N172" s="62">
        <f t="shared" si="25"/>
        <v>40</v>
      </c>
      <c r="O172" s="25"/>
      <c r="P172" s="25"/>
      <c r="Q172" s="23"/>
      <c r="R172" s="23"/>
      <c r="S172" s="23"/>
      <c r="T172" s="32"/>
    </row>
    <row r="173" spans="1:22" ht="18.75" customHeight="1">
      <c r="A173" s="34">
        <v>8</v>
      </c>
      <c r="B173" s="34" t="s">
        <v>414</v>
      </c>
      <c r="C173" s="12"/>
      <c r="D173" s="28"/>
      <c r="E173" s="28"/>
      <c r="F173" s="25"/>
      <c r="G173" s="28"/>
      <c r="H173" s="28"/>
      <c r="I173" s="61">
        <v>5</v>
      </c>
      <c r="J173" s="62">
        <f t="shared" si="24"/>
        <v>40</v>
      </c>
      <c r="K173" s="23"/>
      <c r="L173" s="16"/>
      <c r="M173" s="16"/>
      <c r="N173" s="62">
        <f t="shared" si="25"/>
        <v>40</v>
      </c>
      <c r="O173" s="25"/>
      <c r="P173" s="25"/>
      <c r="Q173" s="23"/>
      <c r="R173" s="23"/>
      <c r="S173" s="23"/>
      <c r="T173" s="32"/>
    </row>
    <row r="174" spans="1:22" ht="18.75" customHeight="1">
      <c r="A174" s="34">
        <v>9</v>
      </c>
      <c r="B174" s="34" t="s">
        <v>415</v>
      </c>
      <c r="C174" s="12"/>
      <c r="D174" s="28"/>
      <c r="E174" s="28"/>
      <c r="F174" s="25"/>
      <c r="G174" s="28"/>
      <c r="H174" s="28"/>
      <c r="I174" s="61">
        <v>2</v>
      </c>
      <c r="J174" s="62">
        <f t="shared" ref="J174" si="28">I174*8</f>
        <v>16</v>
      </c>
      <c r="K174" s="23"/>
      <c r="L174" s="16"/>
      <c r="M174" s="16"/>
      <c r="N174" s="62">
        <f t="shared" ref="N174" si="29">M174+L174+J174</f>
        <v>16</v>
      </c>
      <c r="O174" s="25"/>
      <c r="P174" s="25"/>
      <c r="Q174" s="23"/>
      <c r="R174" s="23"/>
      <c r="S174" s="23"/>
      <c r="T174" s="32"/>
    </row>
    <row r="175" spans="1:22" ht="18.75" customHeight="1">
      <c r="A175" s="34">
        <v>10</v>
      </c>
      <c r="B175" s="71" t="s">
        <v>416</v>
      </c>
      <c r="C175" s="12"/>
      <c r="D175" s="28"/>
      <c r="E175" s="28"/>
      <c r="F175" s="25"/>
      <c r="G175" s="28"/>
      <c r="H175" s="28"/>
      <c r="I175" s="61">
        <v>8</v>
      </c>
      <c r="J175" s="62">
        <f t="shared" si="24"/>
        <v>64</v>
      </c>
      <c r="K175" s="23">
        <v>5</v>
      </c>
      <c r="L175" s="16">
        <f t="shared" ref="L175" si="30">K175*12</f>
        <v>60</v>
      </c>
      <c r="M175" s="16">
        <f t="shared" ref="M175" si="31">K175*4</f>
        <v>20</v>
      </c>
      <c r="N175" s="62">
        <f t="shared" si="25"/>
        <v>144</v>
      </c>
      <c r="O175" s="25"/>
      <c r="P175" s="25"/>
      <c r="Q175" s="23"/>
      <c r="R175" s="23"/>
      <c r="S175" s="23"/>
      <c r="T175" s="32"/>
    </row>
    <row r="176" spans="1:22" ht="18.75" customHeight="1">
      <c r="A176" s="34">
        <v>11</v>
      </c>
      <c r="B176" s="71" t="s">
        <v>417</v>
      </c>
      <c r="C176" s="12"/>
      <c r="D176" s="28"/>
      <c r="E176" s="28"/>
      <c r="F176" s="25"/>
      <c r="G176" s="28"/>
      <c r="H176" s="28"/>
      <c r="I176" s="61">
        <v>2</v>
      </c>
      <c r="J176" s="62">
        <f t="shared" ref="J176:J177" si="32">I176*8</f>
        <v>16</v>
      </c>
      <c r="K176" s="23"/>
      <c r="L176" s="16"/>
      <c r="M176" s="16"/>
      <c r="N176" s="62">
        <f t="shared" ref="N176:N177" si="33">M176+L176+J176</f>
        <v>16</v>
      </c>
      <c r="O176" s="25">
        <v>2</v>
      </c>
      <c r="P176" s="25">
        <v>28</v>
      </c>
      <c r="Q176" s="23"/>
      <c r="R176" s="23"/>
      <c r="S176" s="23"/>
      <c r="T176" s="32"/>
    </row>
    <row r="177" spans="1:23" ht="18.75" customHeight="1">
      <c r="A177" s="34">
        <v>12</v>
      </c>
      <c r="B177" s="71" t="s">
        <v>418</v>
      </c>
      <c r="C177" s="12"/>
      <c r="D177" s="28"/>
      <c r="E177" s="28"/>
      <c r="F177" s="25"/>
      <c r="G177" s="28"/>
      <c r="H177" s="28"/>
      <c r="I177" s="25">
        <v>7</v>
      </c>
      <c r="J177" s="62">
        <f t="shared" si="32"/>
        <v>56</v>
      </c>
      <c r="K177" s="23">
        <v>5</v>
      </c>
      <c r="L177" s="16">
        <f t="shared" ref="L177" si="34">K177*12</f>
        <v>60</v>
      </c>
      <c r="M177" s="16">
        <f t="shared" ref="M177" si="35">K177*4</f>
        <v>20</v>
      </c>
      <c r="N177" s="62">
        <f t="shared" si="33"/>
        <v>136</v>
      </c>
      <c r="O177" s="25"/>
      <c r="P177" s="25"/>
      <c r="Q177" s="23"/>
      <c r="R177" s="23"/>
      <c r="S177" s="23"/>
      <c r="T177" s="32"/>
      <c r="W177" s="1" t="s">
        <v>419</v>
      </c>
    </row>
    <row r="178" spans="1:23" ht="18.75" customHeight="1">
      <c r="A178" s="34">
        <v>13</v>
      </c>
      <c r="B178" s="71" t="s">
        <v>420</v>
      </c>
      <c r="C178" s="12"/>
      <c r="D178" s="28"/>
      <c r="E178" s="28"/>
      <c r="F178" s="25"/>
      <c r="G178" s="28"/>
      <c r="H178" s="28"/>
      <c r="I178" s="25">
        <v>5</v>
      </c>
      <c r="J178" s="62">
        <f t="shared" ref="J178:J179" si="36">I178*8</f>
        <v>40</v>
      </c>
      <c r="K178" s="23">
        <v>5</v>
      </c>
      <c r="L178" s="16">
        <f t="shared" ref="L178" si="37">K178*12</f>
        <v>60</v>
      </c>
      <c r="M178" s="16">
        <f t="shared" ref="M178" si="38">K178*4</f>
        <v>20</v>
      </c>
      <c r="N178" s="62">
        <f t="shared" ref="N178" si="39">M178+L178+J178</f>
        <v>120</v>
      </c>
      <c r="O178" s="25">
        <v>8</v>
      </c>
      <c r="P178" s="25">
        <v>22</v>
      </c>
      <c r="Q178" s="23"/>
      <c r="R178" s="23"/>
      <c r="S178" s="23"/>
      <c r="T178" s="32"/>
    </row>
    <row r="179" spans="1:23" ht="18.75" customHeight="1">
      <c r="A179" s="34">
        <v>14</v>
      </c>
      <c r="B179" s="71" t="s">
        <v>421</v>
      </c>
      <c r="C179" s="12"/>
      <c r="D179" s="28"/>
      <c r="E179" s="28"/>
      <c r="F179" s="25">
        <v>40</v>
      </c>
      <c r="G179" s="28"/>
      <c r="H179" s="28"/>
      <c r="I179" s="25">
        <v>2</v>
      </c>
      <c r="J179" s="62">
        <f t="shared" si="36"/>
        <v>16</v>
      </c>
      <c r="K179" s="23"/>
      <c r="L179" s="16"/>
      <c r="M179" s="16"/>
      <c r="N179" s="62">
        <f t="shared" ref="N179" si="40">M179+L179+J179</f>
        <v>16</v>
      </c>
      <c r="O179" s="25"/>
      <c r="P179" s="25"/>
      <c r="Q179" s="23"/>
      <c r="R179" s="23"/>
      <c r="S179" s="23"/>
      <c r="T179" s="32"/>
    </row>
    <row r="180" spans="1:23" ht="18.75" customHeight="1">
      <c r="A180" s="34">
        <v>15</v>
      </c>
      <c r="B180" s="34" t="s">
        <v>422</v>
      </c>
      <c r="C180" s="12" t="s">
        <v>479</v>
      </c>
      <c r="D180" s="28"/>
      <c r="E180" s="28"/>
      <c r="F180" s="25"/>
      <c r="G180" s="23"/>
      <c r="H180" s="23"/>
      <c r="I180" s="25"/>
      <c r="J180" s="62"/>
      <c r="K180" s="23"/>
      <c r="L180" s="16"/>
      <c r="M180" s="16"/>
      <c r="N180" s="62"/>
      <c r="O180" s="25"/>
      <c r="P180" s="25"/>
      <c r="Q180" s="23"/>
      <c r="R180" s="23"/>
      <c r="S180" s="23"/>
      <c r="T180" s="34"/>
      <c r="U180" s="72"/>
    </row>
    <row r="181" spans="1:23" ht="18.75" customHeight="1">
      <c r="A181" s="34">
        <v>16</v>
      </c>
      <c r="B181" s="34" t="s">
        <v>423</v>
      </c>
      <c r="C181" s="12"/>
      <c r="D181" s="28"/>
      <c r="E181" s="28"/>
      <c r="F181" s="25"/>
      <c r="G181" s="23"/>
      <c r="H181" s="23"/>
      <c r="I181" s="25">
        <v>1</v>
      </c>
      <c r="J181" s="62">
        <f t="shared" si="24"/>
        <v>8</v>
      </c>
      <c r="K181" s="23"/>
      <c r="L181" s="16"/>
      <c r="M181" s="16"/>
      <c r="N181" s="62">
        <f t="shared" si="25"/>
        <v>8</v>
      </c>
      <c r="O181" s="25"/>
      <c r="P181" s="25"/>
      <c r="Q181" s="23"/>
      <c r="R181" s="23"/>
      <c r="S181" s="23"/>
      <c r="T181" s="34"/>
      <c r="U181" s="72"/>
    </row>
    <row r="182" spans="1:23" ht="18.75" customHeight="1">
      <c r="A182" s="63" t="s">
        <v>424</v>
      </c>
      <c r="B182" s="64"/>
      <c r="C182" s="65"/>
      <c r="D182" s="28"/>
      <c r="E182" s="28"/>
      <c r="F182" s="25"/>
      <c r="G182" s="28"/>
      <c r="H182" s="28"/>
      <c r="I182" s="25"/>
      <c r="J182" s="62"/>
      <c r="K182" s="23"/>
      <c r="L182" s="62"/>
      <c r="M182" s="62"/>
      <c r="N182" s="62"/>
      <c r="O182" s="25"/>
      <c r="P182" s="25"/>
      <c r="Q182" s="23"/>
      <c r="R182" s="23"/>
      <c r="S182" s="23"/>
      <c r="T182" s="32"/>
    </row>
    <row r="183" spans="1:23" ht="18.75" customHeight="1">
      <c r="I183" s="75"/>
    </row>
    <row r="186" spans="1:23" ht="18.75" customHeight="1">
      <c r="O186" s="75"/>
      <c r="P186" s="75"/>
      <c r="Q186" s="69"/>
      <c r="R186" s="69"/>
    </row>
  </sheetData>
  <mergeCells count="1">
    <mergeCell ref="A1:U1"/>
  </mergeCells>
  <phoneticPr fontId="2" type="noConversion"/>
  <conditionalFormatting sqref="B1">
    <cfRule type="duplicateValues" dxfId="10" priority="5"/>
  </conditionalFormatting>
  <conditionalFormatting sqref="B52">
    <cfRule type="duplicateValues" dxfId="9" priority="4" stopIfTrue="1"/>
  </conditionalFormatting>
  <conditionalFormatting sqref="B1:B1048576">
    <cfRule type="duplicateValues" dxfId="8" priority="2"/>
    <cfRule type="duplicateValues" dxfId="7" priority="3"/>
  </conditionalFormatting>
  <conditionalFormatting sqref="C48 C42 B2:B65532">
    <cfRule type="duplicateValues" dxfId="6" priority="1" stopIfTrue="1"/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Z186"/>
  <sheetViews>
    <sheetView tabSelected="1" workbookViewId="0">
      <pane ySplit="2" topLeftCell="A142" activePane="bottomLeft" state="frozenSplit"/>
      <selection pane="bottomLeft" activeCell="F79" sqref="F79"/>
    </sheetView>
  </sheetViews>
  <sheetFormatPr defaultRowHeight="18.75" customHeight="1"/>
  <cols>
    <col min="1" max="1" width="3.625" customWidth="1"/>
    <col min="2" max="2" width="7" style="49" customWidth="1"/>
    <col min="3" max="3" width="16.125" style="49" customWidth="1"/>
    <col min="4" max="4" width="11.875" style="93" customWidth="1"/>
    <col min="5" max="5" width="6.875" style="92" customWidth="1"/>
    <col min="6" max="6" width="6.875" style="94" customWidth="1"/>
    <col min="7" max="7" width="7.375" style="97" customWidth="1"/>
    <col min="8" max="8" width="6.875" style="92" customWidth="1"/>
    <col min="9" max="9" width="9.625" style="92" customWidth="1"/>
    <col min="10" max="10" width="7.125" style="52" customWidth="1"/>
    <col min="11" max="11" width="7.125" customWidth="1"/>
    <col min="12" max="12" width="7.125" style="51" customWidth="1"/>
    <col min="13" max="14" width="7.125" customWidth="1"/>
    <col min="15" max="15" width="7.25" customWidth="1"/>
    <col min="16" max="16" width="6.75" style="53" customWidth="1"/>
    <col min="17" max="17" width="8" style="53" customWidth="1"/>
    <col min="18" max="20" width="6.75" style="49" customWidth="1"/>
    <col min="25" max="25" width="15.125" customWidth="1"/>
    <col min="26" max="26" width="20.875" customWidth="1"/>
  </cols>
  <sheetData>
    <row r="1" spans="1:21" s="1" customFormat="1" ht="33" customHeight="1">
      <c r="A1" s="98" t="s">
        <v>493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</row>
    <row r="2" spans="1:21" s="1" customFormat="1" ht="36" customHeight="1">
      <c r="A2" s="2" t="s">
        <v>0</v>
      </c>
      <c r="B2" s="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  <c r="H2" s="4" t="s">
        <v>7</v>
      </c>
      <c r="I2" s="4" t="s">
        <v>8</v>
      </c>
      <c r="J2" s="7" t="s">
        <v>9</v>
      </c>
      <c r="K2" s="8" t="s">
        <v>10</v>
      </c>
      <c r="L2" s="4" t="s">
        <v>11</v>
      </c>
      <c r="M2" s="9" t="s">
        <v>12</v>
      </c>
      <c r="N2" s="9" t="s">
        <v>13</v>
      </c>
      <c r="O2" s="9" t="s">
        <v>14</v>
      </c>
      <c r="P2" s="6" t="s">
        <v>15</v>
      </c>
      <c r="Q2" s="6" t="s">
        <v>16</v>
      </c>
      <c r="R2" s="5" t="s">
        <v>17</v>
      </c>
      <c r="S2" s="4" t="s">
        <v>18</v>
      </c>
      <c r="T2" s="10" t="s">
        <v>19</v>
      </c>
      <c r="U2" s="2" t="s">
        <v>20</v>
      </c>
    </row>
    <row r="3" spans="1:21" s="18" customFormat="1" ht="18.75" customHeight="1">
      <c r="A3" s="11">
        <v>1</v>
      </c>
      <c r="B3" s="11" t="s">
        <v>21</v>
      </c>
      <c r="C3" s="11" t="s">
        <v>22</v>
      </c>
      <c r="D3" s="12"/>
      <c r="E3" s="13"/>
      <c r="F3" s="17"/>
      <c r="G3" s="95">
        <v>32</v>
      </c>
      <c r="H3" s="13"/>
      <c r="I3" s="13" t="s">
        <v>520</v>
      </c>
      <c r="J3" s="15"/>
      <c r="K3" s="16"/>
      <c r="L3" s="17"/>
      <c r="M3" s="16"/>
      <c r="N3" s="16"/>
      <c r="O3" s="16"/>
      <c r="P3" s="14"/>
      <c r="Q3" s="14"/>
      <c r="R3" s="17"/>
      <c r="S3" s="13"/>
      <c r="T3" s="11"/>
      <c r="U3" s="11"/>
    </row>
    <row r="4" spans="1:21" ht="18.75" customHeight="1">
      <c r="A4" s="11">
        <v>2</v>
      </c>
      <c r="B4" s="19" t="s">
        <v>23</v>
      </c>
      <c r="C4" s="20" t="s">
        <v>22</v>
      </c>
      <c r="D4" s="21"/>
      <c r="E4" s="91"/>
      <c r="F4" s="23"/>
      <c r="G4" s="24"/>
      <c r="H4" s="91"/>
      <c r="I4" s="91"/>
      <c r="J4" s="15"/>
      <c r="K4" s="16"/>
      <c r="L4" s="17"/>
      <c r="M4" s="16"/>
      <c r="N4" s="16"/>
      <c r="O4" s="16"/>
      <c r="P4" s="14"/>
      <c r="Q4" s="25">
        <v>24</v>
      </c>
      <c r="R4" s="23"/>
      <c r="S4" s="23"/>
      <c r="T4" s="23"/>
      <c r="U4" s="23"/>
    </row>
    <row r="5" spans="1:21" ht="18.75" customHeight="1">
      <c r="A5" s="11">
        <v>3</v>
      </c>
      <c r="B5" s="19" t="s">
        <v>25</v>
      </c>
      <c r="C5" s="20" t="s">
        <v>22</v>
      </c>
      <c r="D5" s="21"/>
      <c r="E5" s="91"/>
      <c r="F5" s="39"/>
      <c r="G5" s="96"/>
      <c r="H5" s="91"/>
      <c r="I5" s="91"/>
      <c r="J5" s="15"/>
      <c r="K5" s="16"/>
      <c r="L5" s="17"/>
      <c r="M5" s="16"/>
      <c r="N5" s="16"/>
      <c r="O5" s="16"/>
      <c r="P5" s="14">
        <v>2.5</v>
      </c>
      <c r="Q5" s="25">
        <v>24</v>
      </c>
      <c r="R5" s="23"/>
      <c r="S5" s="25"/>
      <c r="T5" s="23"/>
      <c r="U5" s="23"/>
    </row>
    <row r="6" spans="1:21" ht="18.75" customHeight="1">
      <c r="A6" s="11">
        <v>4</v>
      </c>
      <c r="B6" s="19" t="s">
        <v>26</v>
      </c>
      <c r="C6" s="20" t="s">
        <v>22</v>
      </c>
      <c r="D6" s="21"/>
      <c r="E6" s="91"/>
      <c r="F6" s="39"/>
      <c r="G6" s="96">
        <v>7</v>
      </c>
      <c r="H6" s="91"/>
      <c r="I6" s="91"/>
      <c r="J6" s="15"/>
      <c r="K6" s="16"/>
      <c r="L6" s="17"/>
      <c r="M6" s="16"/>
      <c r="N6" s="16"/>
      <c r="O6" s="16"/>
      <c r="P6" s="14"/>
      <c r="Q6" s="25"/>
      <c r="R6" s="23"/>
      <c r="S6" s="23"/>
      <c r="T6" s="23"/>
      <c r="U6" s="23"/>
    </row>
    <row r="7" spans="1:21" s="1" customFormat="1" ht="18.75" customHeight="1">
      <c r="A7" s="11">
        <v>5</v>
      </c>
      <c r="B7" s="26" t="s">
        <v>27</v>
      </c>
      <c r="C7" s="26" t="s">
        <v>28</v>
      </c>
      <c r="D7" s="27"/>
      <c r="E7" s="28"/>
      <c r="F7" s="23"/>
      <c r="G7" s="24"/>
      <c r="H7" s="29"/>
      <c r="I7" s="29"/>
      <c r="J7" s="30"/>
      <c r="K7" s="16"/>
      <c r="L7" s="17">
        <v>2</v>
      </c>
      <c r="M7" s="16">
        <f t="shared" ref="M7" si="0">L7*12</f>
        <v>24</v>
      </c>
      <c r="N7" s="16">
        <f t="shared" ref="N7" si="1">L7*4</f>
        <v>8</v>
      </c>
      <c r="O7" s="16">
        <f t="shared" ref="O7" si="2">N7+M7+K7</f>
        <v>32</v>
      </c>
      <c r="P7" s="25"/>
      <c r="Q7" s="31">
        <v>35</v>
      </c>
      <c r="R7" s="23">
        <v>45</v>
      </c>
      <c r="S7" s="28">
        <v>40</v>
      </c>
      <c r="T7" s="32"/>
      <c r="U7" s="32"/>
    </row>
    <row r="8" spans="1:21" s="1" customFormat="1" ht="18.75" customHeight="1">
      <c r="A8" s="11">
        <v>6</v>
      </c>
      <c r="B8" s="26" t="s">
        <v>29</v>
      </c>
      <c r="C8" s="26" t="s">
        <v>28</v>
      </c>
      <c r="D8" s="27"/>
      <c r="E8" s="28"/>
      <c r="F8" s="23"/>
      <c r="G8" s="24"/>
      <c r="H8" s="29"/>
      <c r="I8" s="29"/>
      <c r="J8" s="30">
        <v>6</v>
      </c>
      <c r="K8" s="16">
        <f t="shared" ref="K8" si="3">J8*8</f>
        <v>48</v>
      </c>
      <c r="L8" s="17">
        <v>2</v>
      </c>
      <c r="M8" s="16">
        <f t="shared" ref="M8" si="4">L8*12</f>
        <v>24</v>
      </c>
      <c r="N8" s="16">
        <f t="shared" ref="N8" si="5">L8*4</f>
        <v>8</v>
      </c>
      <c r="O8" s="16">
        <f t="shared" ref="O8" si="6">N8+M8+K8</f>
        <v>80</v>
      </c>
      <c r="P8" s="25"/>
      <c r="Q8" s="25">
        <v>18</v>
      </c>
      <c r="R8" s="23">
        <v>49</v>
      </c>
      <c r="S8" s="28"/>
      <c r="T8" s="32"/>
      <c r="U8" s="32"/>
    </row>
    <row r="9" spans="1:21" s="1" customFormat="1" ht="18.75" customHeight="1">
      <c r="A9" s="11">
        <v>7</v>
      </c>
      <c r="B9" s="26" t="s">
        <v>30</v>
      </c>
      <c r="C9" s="26" t="s">
        <v>28</v>
      </c>
      <c r="D9" s="27"/>
      <c r="E9" s="28"/>
      <c r="F9" s="23"/>
      <c r="G9" s="24"/>
      <c r="H9" s="29"/>
      <c r="I9" s="29"/>
      <c r="J9" s="30"/>
      <c r="K9" s="16"/>
      <c r="L9" s="17"/>
      <c r="M9" s="16"/>
      <c r="N9" s="16"/>
      <c r="O9" s="16"/>
      <c r="P9" s="33"/>
      <c r="Q9" s="33">
        <v>30</v>
      </c>
      <c r="R9" s="34">
        <v>40</v>
      </c>
      <c r="S9" s="32">
        <v>50</v>
      </c>
      <c r="T9" s="32"/>
      <c r="U9" s="35"/>
    </row>
    <row r="10" spans="1:21" s="1" customFormat="1" ht="18.75" customHeight="1">
      <c r="A10" s="11">
        <v>8</v>
      </c>
      <c r="B10" s="26" t="s">
        <v>31</v>
      </c>
      <c r="C10" s="26" t="s">
        <v>28</v>
      </c>
      <c r="D10" s="27"/>
      <c r="E10" s="28"/>
      <c r="F10" s="23"/>
      <c r="G10" s="24"/>
      <c r="H10" s="29"/>
      <c r="I10" s="29"/>
      <c r="J10" s="30">
        <v>11.5</v>
      </c>
      <c r="K10" s="16">
        <f t="shared" ref="K9:K74" si="7">J10*8</f>
        <v>92</v>
      </c>
      <c r="L10" s="17">
        <v>15</v>
      </c>
      <c r="M10" s="16">
        <f t="shared" ref="M9:M74" si="8">L10*12</f>
        <v>180</v>
      </c>
      <c r="N10" s="16">
        <f t="shared" ref="N9:N74" si="9">L10*4</f>
        <v>60</v>
      </c>
      <c r="O10" s="16">
        <f t="shared" ref="O9:O74" si="10">N10+M10+K10</f>
        <v>332</v>
      </c>
      <c r="P10" s="25"/>
      <c r="Q10" s="25"/>
      <c r="R10" s="23"/>
      <c r="S10" s="28"/>
      <c r="T10" s="32"/>
      <c r="U10" s="32"/>
    </row>
    <row r="11" spans="1:21" s="1" customFormat="1" ht="18.75" customHeight="1">
      <c r="A11" s="11">
        <v>9</v>
      </c>
      <c r="B11" s="26" t="s">
        <v>32</v>
      </c>
      <c r="C11" s="26" t="s">
        <v>28</v>
      </c>
      <c r="D11" s="36"/>
      <c r="E11" s="28"/>
      <c r="F11" s="23"/>
      <c r="G11" s="24">
        <v>4</v>
      </c>
      <c r="H11" s="29"/>
      <c r="I11" s="29"/>
      <c r="J11" s="30">
        <v>8</v>
      </c>
      <c r="K11" s="16">
        <f t="shared" si="7"/>
        <v>64</v>
      </c>
      <c r="L11" s="17"/>
      <c r="M11" s="16"/>
      <c r="N11" s="16"/>
      <c r="O11" s="16">
        <f t="shared" si="10"/>
        <v>64</v>
      </c>
      <c r="P11" s="25"/>
      <c r="Q11" s="25">
        <v>34</v>
      </c>
      <c r="R11" s="23">
        <v>30</v>
      </c>
      <c r="S11" s="28">
        <v>30</v>
      </c>
      <c r="T11" s="32"/>
      <c r="U11" s="32"/>
    </row>
    <row r="12" spans="1:21" s="1" customFormat="1" ht="18.75" customHeight="1">
      <c r="A12" s="11">
        <v>10</v>
      </c>
      <c r="B12" s="26" t="s">
        <v>33</v>
      </c>
      <c r="C12" s="26" t="s">
        <v>28</v>
      </c>
      <c r="D12" s="27"/>
      <c r="E12" s="28"/>
      <c r="F12" s="23"/>
      <c r="G12" s="24">
        <v>8</v>
      </c>
      <c r="H12" s="29"/>
      <c r="I12" s="29"/>
      <c r="J12" s="30">
        <v>8</v>
      </c>
      <c r="K12" s="16">
        <f t="shared" si="7"/>
        <v>64</v>
      </c>
      <c r="L12" s="17">
        <v>5</v>
      </c>
      <c r="M12" s="16">
        <f t="shared" si="8"/>
        <v>60</v>
      </c>
      <c r="N12" s="16">
        <f t="shared" si="9"/>
        <v>20</v>
      </c>
      <c r="O12" s="16">
        <f t="shared" si="10"/>
        <v>144</v>
      </c>
      <c r="P12" s="25"/>
      <c r="Q12" s="25">
        <v>35</v>
      </c>
      <c r="R12" s="23">
        <v>47</v>
      </c>
      <c r="S12" s="28">
        <v>30</v>
      </c>
      <c r="T12" s="32"/>
      <c r="U12" s="32"/>
    </row>
    <row r="13" spans="1:21" s="1" customFormat="1" ht="18.75" customHeight="1">
      <c r="A13" s="11">
        <v>11</v>
      </c>
      <c r="B13" s="26" t="s">
        <v>34</v>
      </c>
      <c r="C13" s="26" t="s">
        <v>28</v>
      </c>
      <c r="D13" s="27"/>
      <c r="E13" s="28"/>
      <c r="F13" s="23"/>
      <c r="G13" s="24"/>
      <c r="H13" s="29"/>
      <c r="I13" s="29"/>
      <c r="J13" s="30">
        <v>5.5</v>
      </c>
      <c r="K13" s="16">
        <f t="shared" si="7"/>
        <v>44</v>
      </c>
      <c r="L13" s="17">
        <v>4</v>
      </c>
      <c r="M13" s="16">
        <f t="shared" si="8"/>
        <v>48</v>
      </c>
      <c r="N13" s="16">
        <f t="shared" si="9"/>
        <v>16</v>
      </c>
      <c r="O13" s="16">
        <f t="shared" si="10"/>
        <v>108</v>
      </c>
      <c r="P13" s="25"/>
      <c r="Q13" s="33">
        <v>18</v>
      </c>
      <c r="R13" s="23">
        <v>49</v>
      </c>
      <c r="S13" s="28"/>
      <c r="T13" s="32"/>
      <c r="U13" s="32"/>
    </row>
    <row r="14" spans="1:21" s="1" customFormat="1" ht="18.75" customHeight="1">
      <c r="A14" s="11">
        <v>12</v>
      </c>
      <c r="B14" s="26" t="s">
        <v>35</v>
      </c>
      <c r="C14" s="26" t="s">
        <v>28</v>
      </c>
      <c r="D14" s="27"/>
      <c r="E14" s="28"/>
      <c r="F14" s="23"/>
      <c r="G14" s="24"/>
      <c r="H14" s="29"/>
      <c r="I14" s="29"/>
      <c r="J14" s="30">
        <v>5</v>
      </c>
      <c r="K14" s="16">
        <f t="shared" si="7"/>
        <v>40</v>
      </c>
      <c r="L14" s="17">
        <v>8</v>
      </c>
      <c r="M14" s="16">
        <f t="shared" si="8"/>
        <v>96</v>
      </c>
      <c r="N14" s="16">
        <f t="shared" si="9"/>
        <v>32</v>
      </c>
      <c r="O14" s="16">
        <f t="shared" si="10"/>
        <v>168</v>
      </c>
      <c r="P14" s="25"/>
      <c r="Q14" s="25">
        <v>16</v>
      </c>
      <c r="R14" s="23">
        <v>50</v>
      </c>
      <c r="S14" s="28"/>
      <c r="T14" s="32"/>
      <c r="U14" s="32"/>
    </row>
    <row r="15" spans="1:21" s="1" customFormat="1" ht="18.75" customHeight="1">
      <c r="A15" s="11">
        <v>13</v>
      </c>
      <c r="B15" s="26" t="s">
        <v>36</v>
      </c>
      <c r="C15" s="26" t="s">
        <v>28</v>
      </c>
      <c r="D15" s="27"/>
      <c r="E15" s="28"/>
      <c r="F15" s="23"/>
      <c r="G15" s="24"/>
      <c r="H15" s="29"/>
      <c r="I15" s="29"/>
      <c r="J15" s="30">
        <v>12.5</v>
      </c>
      <c r="K15" s="16">
        <f t="shared" si="7"/>
        <v>100</v>
      </c>
      <c r="L15" s="17">
        <v>11</v>
      </c>
      <c r="M15" s="16">
        <f t="shared" si="8"/>
        <v>132</v>
      </c>
      <c r="N15" s="16">
        <f t="shared" si="9"/>
        <v>44</v>
      </c>
      <c r="O15" s="16">
        <f t="shared" si="10"/>
        <v>276</v>
      </c>
      <c r="P15" s="25"/>
      <c r="Q15" s="25"/>
      <c r="R15" s="23"/>
      <c r="S15" s="28"/>
      <c r="T15" s="32"/>
      <c r="U15" s="32"/>
    </row>
    <row r="16" spans="1:21" s="1" customFormat="1" ht="18.75" customHeight="1">
      <c r="A16" s="11">
        <v>14</v>
      </c>
      <c r="B16" s="32" t="s">
        <v>37</v>
      </c>
      <c r="C16" s="32" t="s">
        <v>28</v>
      </c>
      <c r="D16" s="27"/>
      <c r="E16" s="28"/>
      <c r="F16" s="23"/>
      <c r="G16" s="24"/>
      <c r="H16" s="29"/>
      <c r="I16" s="29"/>
      <c r="J16" s="30">
        <v>15.5</v>
      </c>
      <c r="K16" s="16">
        <f t="shared" si="7"/>
        <v>124</v>
      </c>
      <c r="L16" s="17">
        <v>11</v>
      </c>
      <c r="M16" s="16">
        <f t="shared" si="8"/>
        <v>132</v>
      </c>
      <c r="N16" s="16">
        <f t="shared" si="9"/>
        <v>44</v>
      </c>
      <c r="O16" s="16">
        <f t="shared" si="10"/>
        <v>300</v>
      </c>
      <c r="P16" s="25"/>
      <c r="Q16" s="25"/>
      <c r="R16" s="23"/>
      <c r="S16" s="28"/>
      <c r="T16" s="32"/>
      <c r="U16" s="32"/>
    </row>
    <row r="17" spans="1:26" s="1" customFormat="1" ht="18.75" customHeight="1">
      <c r="A17" s="11">
        <v>15</v>
      </c>
      <c r="B17" s="32" t="s">
        <v>38</v>
      </c>
      <c r="C17" s="37" t="s">
        <v>28</v>
      </c>
      <c r="D17" s="27"/>
      <c r="E17" s="28"/>
      <c r="F17" s="23"/>
      <c r="G17" s="24"/>
      <c r="H17" s="29"/>
      <c r="I17" s="29"/>
      <c r="J17" s="30">
        <v>1</v>
      </c>
      <c r="K17" s="16">
        <f t="shared" si="7"/>
        <v>8</v>
      </c>
      <c r="L17" s="17">
        <v>2</v>
      </c>
      <c r="M17" s="16">
        <f t="shared" si="8"/>
        <v>24</v>
      </c>
      <c r="N17" s="16">
        <f t="shared" si="9"/>
        <v>8</v>
      </c>
      <c r="O17" s="16">
        <f t="shared" si="10"/>
        <v>40</v>
      </c>
      <c r="P17" s="25"/>
      <c r="Q17" s="25"/>
      <c r="R17" s="23"/>
      <c r="S17" s="28"/>
      <c r="T17" s="32"/>
      <c r="U17" s="32"/>
    </row>
    <row r="18" spans="1:26" s="1" customFormat="1" ht="18.75" customHeight="1">
      <c r="A18" s="11">
        <v>16</v>
      </c>
      <c r="B18" s="32" t="s">
        <v>39</v>
      </c>
      <c r="C18" s="37" t="s">
        <v>28</v>
      </c>
      <c r="D18" s="27"/>
      <c r="E18" s="23"/>
      <c r="F18" s="23"/>
      <c r="G18" s="24"/>
      <c r="H18" s="29"/>
      <c r="I18" s="29" t="s">
        <v>527</v>
      </c>
      <c r="J18" s="30">
        <v>5.5</v>
      </c>
      <c r="K18" s="16">
        <f t="shared" si="7"/>
        <v>44</v>
      </c>
      <c r="L18" s="17">
        <v>12</v>
      </c>
      <c r="M18" s="16">
        <f t="shared" si="8"/>
        <v>144</v>
      </c>
      <c r="N18" s="16">
        <f t="shared" si="9"/>
        <v>48</v>
      </c>
      <c r="O18" s="16">
        <f t="shared" si="10"/>
        <v>236</v>
      </c>
      <c r="P18" s="25"/>
      <c r="Q18" s="25">
        <v>32</v>
      </c>
      <c r="R18" s="23">
        <v>60</v>
      </c>
      <c r="S18" s="28"/>
      <c r="T18" s="32"/>
      <c r="U18" s="32"/>
    </row>
    <row r="19" spans="1:26" s="1" customFormat="1" ht="18.75" customHeight="1">
      <c r="A19" s="11">
        <v>17</v>
      </c>
      <c r="B19" s="32" t="s">
        <v>41</v>
      </c>
      <c r="C19" s="32" t="s">
        <v>28</v>
      </c>
      <c r="D19" s="27"/>
      <c r="E19" s="28"/>
      <c r="F19" s="23"/>
      <c r="G19" s="24"/>
      <c r="H19" s="29"/>
      <c r="I19" s="29"/>
      <c r="J19" s="30">
        <v>0.5</v>
      </c>
      <c r="K19" s="16">
        <f t="shared" si="7"/>
        <v>4</v>
      </c>
      <c r="L19" s="17">
        <v>2</v>
      </c>
      <c r="M19" s="16">
        <f t="shared" si="8"/>
        <v>24</v>
      </c>
      <c r="N19" s="16">
        <f t="shared" si="9"/>
        <v>8</v>
      </c>
      <c r="O19" s="16">
        <f t="shared" si="10"/>
        <v>36</v>
      </c>
      <c r="P19" s="25"/>
      <c r="Q19" s="25">
        <v>28</v>
      </c>
      <c r="R19" s="23">
        <v>45</v>
      </c>
      <c r="S19" s="28">
        <v>40</v>
      </c>
      <c r="T19" s="32"/>
      <c r="U19" s="32"/>
    </row>
    <row r="20" spans="1:26" s="1" customFormat="1" ht="18.75" customHeight="1">
      <c r="A20" s="11">
        <v>18</v>
      </c>
      <c r="B20" s="32" t="s">
        <v>42</v>
      </c>
      <c r="C20" s="32" t="s">
        <v>28</v>
      </c>
      <c r="D20" s="27"/>
      <c r="E20" s="28"/>
      <c r="F20" s="23"/>
      <c r="G20" s="24"/>
      <c r="H20" s="29"/>
      <c r="I20" s="29"/>
      <c r="J20" s="30"/>
      <c r="K20" s="16"/>
      <c r="L20" s="17"/>
      <c r="M20" s="16"/>
      <c r="N20" s="16"/>
      <c r="O20" s="16"/>
      <c r="P20" s="25"/>
      <c r="Q20" s="25">
        <v>4</v>
      </c>
      <c r="R20" s="23">
        <v>44</v>
      </c>
      <c r="S20" s="28"/>
      <c r="T20" s="32"/>
      <c r="U20" s="32"/>
    </row>
    <row r="21" spans="1:26" s="1" customFormat="1" ht="18.75" customHeight="1">
      <c r="A21" s="11">
        <v>19</v>
      </c>
      <c r="B21" s="32" t="s">
        <v>43</v>
      </c>
      <c r="C21" s="37" t="s">
        <v>28</v>
      </c>
      <c r="D21" s="27"/>
      <c r="E21" s="28"/>
      <c r="F21" s="23"/>
      <c r="G21" s="24">
        <v>40</v>
      </c>
      <c r="H21" s="29"/>
      <c r="I21" s="29"/>
      <c r="J21" s="30"/>
      <c r="K21" s="16"/>
      <c r="L21" s="17"/>
      <c r="M21" s="16"/>
      <c r="N21" s="16"/>
      <c r="O21" s="16"/>
      <c r="P21" s="25">
        <v>4</v>
      </c>
      <c r="Q21" s="25">
        <v>24</v>
      </c>
      <c r="R21" s="23"/>
      <c r="S21" s="28"/>
      <c r="T21" s="32"/>
      <c r="U21" s="32"/>
    </row>
    <row r="22" spans="1:26" s="1" customFormat="1" ht="18.75" customHeight="1">
      <c r="A22" s="11">
        <v>20</v>
      </c>
      <c r="B22" s="32" t="s">
        <v>44</v>
      </c>
      <c r="C22" s="37" t="s">
        <v>28</v>
      </c>
      <c r="D22" s="27" t="s">
        <v>507</v>
      </c>
      <c r="E22" s="28"/>
      <c r="F22" s="23"/>
      <c r="G22" s="24"/>
      <c r="H22" s="29"/>
      <c r="I22" s="29"/>
      <c r="J22" s="30">
        <v>1.5</v>
      </c>
      <c r="K22" s="16">
        <f t="shared" si="7"/>
        <v>12</v>
      </c>
      <c r="L22" s="17">
        <v>3</v>
      </c>
      <c r="M22" s="16">
        <f t="shared" si="8"/>
        <v>36</v>
      </c>
      <c r="N22" s="16">
        <f t="shared" si="9"/>
        <v>12</v>
      </c>
      <c r="O22" s="16">
        <f t="shared" si="10"/>
        <v>60</v>
      </c>
      <c r="P22" s="25"/>
      <c r="Q22" s="25">
        <v>32</v>
      </c>
      <c r="R22" s="23">
        <v>20</v>
      </c>
      <c r="S22" s="28"/>
      <c r="T22" s="32"/>
      <c r="U22" s="32"/>
    </row>
    <row r="23" spans="1:26" s="1" customFormat="1" ht="18.75" customHeight="1">
      <c r="A23" s="11">
        <v>21</v>
      </c>
      <c r="B23" s="32" t="s">
        <v>45</v>
      </c>
      <c r="C23" s="37" t="s">
        <v>28</v>
      </c>
      <c r="D23" s="27"/>
      <c r="E23" s="28"/>
      <c r="F23" s="23"/>
      <c r="G23" s="24"/>
      <c r="H23" s="29"/>
      <c r="I23" s="38"/>
      <c r="J23" s="30">
        <v>1</v>
      </c>
      <c r="K23" s="16">
        <f t="shared" si="7"/>
        <v>8</v>
      </c>
      <c r="L23" s="17">
        <v>5</v>
      </c>
      <c r="M23" s="16">
        <f t="shared" si="8"/>
        <v>60</v>
      </c>
      <c r="N23" s="16">
        <f t="shared" si="9"/>
        <v>20</v>
      </c>
      <c r="O23" s="16">
        <f t="shared" si="10"/>
        <v>88</v>
      </c>
      <c r="P23" s="25"/>
      <c r="Q23" s="25"/>
      <c r="R23" s="23"/>
      <c r="S23" s="28"/>
      <c r="T23" s="32"/>
      <c r="U23" s="32"/>
    </row>
    <row r="24" spans="1:26" s="1" customFormat="1" ht="18.75" customHeight="1">
      <c r="A24" s="11">
        <v>22</v>
      </c>
      <c r="B24" s="32" t="s">
        <v>46</v>
      </c>
      <c r="C24" s="37" t="s">
        <v>28</v>
      </c>
      <c r="D24" s="27"/>
      <c r="E24" s="28"/>
      <c r="F24" s="23"/>
      <c r="G24" s="24"/>
      <c r="H24" s="29"/>
      <c r="I24" s="39"/>
      <c r="J24" s="30">
        <v>6</v>
      </c>
      <c r="K24" s="16">
        <f t="shared" si="7"/>
        <v>48</v>
      </c>
      <c r="L24" s="17">
        <v>2</v>
      </c>
      <c r="M24" s="16">
        <f t="shared" si="8"/>
        <v>24</v>
      </c>
      <c r="N24" s="16">
        <f t="shared" si="9"/>
        <v>8</v>
      </c>
      <c r="O24" s="16">
        <f t="shared" si="10"/>
        <v>80</v>
      </c>
      <c r="P24" s="33">
        <v>28</v>
      </c>
      <c r="Q24" s="33"/>
      <c r="R24" s="34">
        <v>20</v>
      </c>
      <c r="S24" s="32"/>
      <c r="T24" s="32"/>
      <c r="U24" s="32"/>
    </row>
    <row r="25" spans="1:26" s="1" customFormat="1" ht="18.75" customHeight="1">
      <c r="A25" s="11">
        <v>23</v>
      </c>
      <c r="B25" s="32" t="s">
        <v>47</v>
      </c>
      <c r="C25" s="37" t="s">
        <v>28</v>
      </c>
      <c r="D25" s="27"/>
      <c r="E25" s="28"/>
      <c r="F25" s="23"/>
      <c r="G25" s="24">
        <v>8</v>
      </c>
      <c r="H25" s="29"/>
      <c r="I25" s="38"/>
      <c r="J25" s="30">
        <v>8.5</v>
      </c>
      <c r="K25" s="16">
        <f t="shared" si="7"/>
        <v>68</v>
      </c>
      <c r="L25" s="17">
        <v>12</v>
      </c>
      <c r="M25" s="16">
        <f t="shared" si="8"/>
        <v>144</v>
      </c>
      <c r="N25" s="16">
        <f t="shared" si="9"/>
        <v>48</v>
      </c>
      <c r="O25" s="16">
        <f t="shared" si="10"/>
        <v>260</v>
      </c>
      <c r="P25" s="25"/>
      <c r="Q25" s="25"/>
      <c r="R25" s="23"/>
      <c r="S25" s="28"/>
      <c r="T25" s="32"/>
      <c r="U25" s="32"/>
    </row>
    <row r="26" spans="1:26" s="1" customFormat="1" ht="18.75" customHeight="1">
      <c r="A26" s="11">
        <v>24</v>
      </c>
      <c r="B26" s="32" t="s">
        <v>48</v>
      </c>
      <c r="C26" s="34" t="s">
        <v>28</v>
      </c>
      <c r="D26" s="27"/>
      <c r="E26" s="28"/>
      <c r="F26" s="23"/>
      <c r="G26" s="24"/>
      <c r="H26" s="29"/>
      <c r="I26" s="39"/>
      <c r="J26" s="30">
        <v>1.5</v>
      </c>
      <c r="K26" s="16">
        <f t="shared" si="7"/>
        <v>12</v>
      </c>
      <c r="L26" s="17">
        <v>1</v>
      </c>
      <c r="M26" s="16">
        <f t="shared" si="8"/>
        <v>12</v>
      </c>
      <c r="N26" s="16">
        <f t="shared" si="9"/>
        <v>4</v>
      </c>
      <c r="O26" s="16">
        <f t="shared" si="10"/>
        <v>28</v>
      </c>
      <c r="P26" s="25"/>
      <c r="Q26" s="25">
        <v>28</v>
      </c>
      <c r="R26" s="23">
        <v>40</v>
      </c>
      <c r="S26" s="28">
        <v>30</v>
      </c>
      <c r="T26" s="32"/>
      <c r="U26" s="32"/>
    </row>
    <row r="27" spans="1:26" s="1" customFormat="1" ht="18.75" customHeight="1">
      <c r="A27" s="11">
        <v>25</v>
      </c>
      <c r="B27" s="32" t="s">
        <v>49</v>
      </c>
      <c r="C27" s="37" t="s">
        <v>28</v>
      </c>
      <c r="E27" s="80"/>
      <c r="F27" s="88"/>
      <c r="G27" s="30"/>
      <c r="H27" s="80"/>
      <c r="I27" s="80"/>
      <c r="J27" s="30">
        <v>4</v>
      </c>
      <c r="K27" s="16">
        <f t="shared" si="7"/>
        <v>32</v>
      </c>
      <c r="L27" s="17">
        <v>2</v>
      </c>
      <c r="M27" s="16">
        <f t="shared" si="8"/>
        <v>24</v>
      </c>
      <c r="N27" s="16">
        <f t="shared" si="9"/>
        <v>8</v>
      </c>
      <c r="O27" s="16">
        <f t="shared" si="10"/>
        <v>64</v>
      </c>
      <c r="P27" s="25"/>
      <c r="Q27" s="25">
        <v>19</v>
      </c>
      <c r="R27" s="23">
        <v>64</v>
      </c>
      <c r="S27" s="28"/>
      <c r="T27" s="32"/>
      <c r="U27" s="32"/>
    </row>
    <row r="28" spans="1:26" s="1" customFormat="1" ht="18.75" customHeight="1">
      <c r="A28" s="11">
        <v>26</v>
      </c>
      <c r="B28" s="32" t="s">
        <v>51</v>
      </c>
      <c r="C28" s="34" t="s">
        <v>28</v>
      </c>
      <c r="D28" s="80" t="s">
        <v>40</v>
      </c>
      <c r="E28" s="80"/>
      <c r="F28" s="88"/>
      <c r="G28" s="30"/>
      <c r="H28" s="80"/>
      <c r="I28" s="80"/>
      <c r="J28" s="30"/>
      <c r="K28" s="16"/>
      <c r="L28" s="17"/>
      <c r="M28" s="16"/>
      <c r="N28" s="16"/>
      <c r="O28" s="16"/>
      <c r="P28" s="25"/>
      <c r="Q28" s="25"/>
      <c r="R28" s="23"/>
      <c r="S28" s="28"/>
      <c r="T28" s="34"/>
      <c r="U28" s="34"/>
      <c r="Y28" s="40"/>
      <c r="Z28" s="40"/>
    </row>
    <row r="29" spans="1:26" s="1" customFormat="1" ht="18.75" customHeight="1">
      <c r="A29" s="11">
        <v>27</v>
      </c>
      <c r="B29" s="32" t="s">
        <v>52</v>
      </c>
      <c r="C29" s="34" t="s">
        <v>28</v>
      </c>
      <c r="D29" s="80"/>
      <c r="E29" s="80"/>
      <c r="F29" s="88"/>
      <c r="G29" s="30">
        <v>16</v>
      </c>
      <c r="H29" s="80"/>
      <c r="I29" s="80"/>
      <c r="J29" s="30">
        <v>4</v>
      </c>
      <c r="K29" s="16">
        <f t="shared" si="7"/>
        <v>32</v>
      </c>
      <c r="L29" s="17">
        <v>2</v>
      </c>
      <c r="M29" s="16">
        <f t="shared" si="8"/>
        <v>24</v>
      </c>
      <c r="N29" s="16">
        <f t="shared" si="9"/>
        <v>8</v>
      </c>
      <c r="O29" s="16">
        <f t="shared" si="10"/>
        <v>64</v>
      </c>
      <c r="P29" s="25"/>
      <c r="Q29" s="25"/>
      <c r="R29" s="23"/>
      <c r="S29" s="28"/>
      <c r="T29" s="34"/>
      <c r="U29" s="34"/>
      <c r="Y29" s="40"/>
      <c r="Z29" s="40"/>
    </row>
    <row r="30" spans="1:26" s="1" customFormat="1" ht="18.75" customHeight="1">
      <c r="A30" s="11">
        <v>28</v>
      </c>
      <c r="B30" s="32" t="s">
        <v>54</v>
      </c>
      <c r="C30" s="34" t="s">
        <v>28</v>
      </c>
      <c r="D30" s="80"/>
      <c r="E30" s="80"/>
      <c r="F30" s="88"/>
      <c r="G30" s="30"/>
      <c r="H30" s="80"/>
      <c r="I30" s="80"/>
      <c r="J30" s="30">
        <v>9.5</v>
      </c>
      <c r="K30" s="16">
        <f t="shared" si="7"/>
        <v>76</v>
      </c>
      <c r="L30" s="17">
        <v>15</v>
      </c>
      <c r="M30" s="16">
        <f t="shared" si="8"/>
        <v>180</v>
      </c>
      <c r="N30" s="16">
        <f t="shared" si="9"/>
        <v>60</v>
      </c>
      <c r="O30" s="16">
        <f t="shared" si="10"/>
        <v>316</v>
      </c>
      <c r="P30" s="25"/>
      <c r="Q30" s="25">
        <v>32</v>
      </c>
      <c r="R30" s="23">
        <v>68</v>
      </c>
      <c r="S30" s="23">
        <v>20</v>
      </c>
      <c r="T30" s="34"/>
      <c r="U30" s="34"/>
      <c r="Y30" s="40"/>
      <c r="Z30" s="40"/>
    </row>
    <row r="31" spans="1:26" s="1" customFormat="1" ht="18.75" customHeight="1">
      <c r="A31" s="11">
        <v>29</v>
      </c>
      <c r="B31" s="32" t="s">
        <v>55</v>
      </c>
      <c r="C31" s="34" t="s">
        <v>28</v>
      </c>
      <c r="D31" s="80"/>
      <c r="E31" s="80"/>
      <c r="F31" s="88"/>
      <c r="G31" s="30"/>
      <c r="H31" s="80"/>
      <c r="I31" s="80"/>
      <c r="J31" s="30">
        <v>2</v>
      </c>
      <c r="K31" s="16">
        <f t="shared" si="7"/>
        <v>16</v>
      </c>
      <c r="L31" s="17">
        <v>2</v>
      </c>
      <c r="M31" s="16">
        <f t="shared" si="8"/>
        <v>24</v>
      </c>
      <c r="N31" s="16">
        <f t="shared" si="9"/>
        <v>8</v>
      </c>
      <c r="O31" s="16">
        <f t="shared" si="10"/>
        <v>48</v>
      </c>
      <c r="P31" s="25"/>
      <c r="Q31" s="25">
        <v>28</v>
      </c>
      <c r="R31" s="23">
        <v>52</v>
      </c>
      <c r="S31" s="28">
        <v>40</v>
      </c>
      <c r="T31" s="34"/>
      <c r="U31" s="34"/>
    </row>
    <row r="32" spans="1:26" s="1" customFormat="1" ht="18.75" customHeight="1">
      <c r="A32" s="11">
        <v>30</v>
      </c>
      <c r="B32" s="32" t="s">
        <v>57</v>
      </c>
      <c r="C32" s="34" t="s">
        <v>28</v>
      </c>
      <c r="D32" s="36"/>
      <c r="E32" s="28"/>
      <c r="F32" s="23"/>
      <c r="G32" s="30"/>
      <c r="H32" s="39"/>
      <c r="I32" s="39"/>
      <c r="J32" s="30">
        <v>5</v>
      </c>
      <c r="K32" s="16">
        <f t="shared" si="7"/>
        <v>40</v>
      </c>
      <c r="L32" s="17"/>
      <c r="M32" s="16"/>
      <c r="N32" s="16"/>
      <c r="O32" s="16">
        <f t="shared" si="10"/>
        <v>40</v>
      </c>
      <c r="P32" s="25"/>
      <c r="Q32" s="25">
        <v>31.5</v>
      </c>
      <c r="R32" s="23">
        <v>59</v>
      </c>
      <c r="S32" s="28">
        <v>30</v>
      </c>
      <c r="T32" s="34"/>
      <c r="U32" s="34"/>
    </row>
    <row r="33" spans="1:21" s="1" customFormat="1" ht="18.75" customHeight="1">
      <c r="A33" s="11">
        <v>31</v>
      </c>
      <c r="B33" s="32" t="s">
        <v>58</v>
      </c>
      <c r="C33" s="34" t="s">
        <v>28</v>
      </c>
      <c r="D33" s="36"/>
      <c r="E33" s="28"/>
      <c r="F33" s="23"/>
      <c r="G33" s="30">
        <v>1</v>
      </c>
      <c r="H33" s="39"/>
      <c r="I33" s="39"/>
      <c r="J33" s="30">
        <v>22</v>
      </c>
      <c r="K33" s="16">
        <f t="shared" si="7"/>
        <v>176</v>
      </c>
      <c r="L33" s="17">
        <v>2</v>
      </c>
      <c r="M33" s="16">
        <f t="shared" si="8"/>
        <v>24</v>
      </c>
      <c r="N33" s="16">
        <f t="shared" si="9"/>
        <v>8</v>
      </c>
      <c r="O33" s="16">
        <f t="shared" si="10"/>
        <v>208</v>
      </c>
      <c r="P33" s="25"/>
      <c r="Q33" s="25">
        <v>28</v>
      </c>
      <c r="R33" s="23">
        <v>8</v>
      </c>
      <c r="S33" s="28">
        <v>10</v>
      </c>
      <c r="T33" s="34"/>
      <c r="U33" s="34"/>
    </row>
    <row r="34" spans="1:21" s="1" customFormat="1" ht="18.75" customHeight="1">
      <c r="A34" s="11">
        <v>32</v>
      </c>
      <c r="B34" s="41" t="s">
        <v>59</v>
      </c>
      <c r="C34" s="34" t="s">
        <v>28</v>
      </c>
      <c r="D34" s="36" t="s">
        <v>40</v>
      </c>
      <c r="E34" s="28"/>
      <c r="F34" s="23"/>
      <c r="G34" s="24"/>
      <c r="H34" s="39"/>
      <c r="I34" s="39"/>
      <c r="J34" s="30"/>
      <c r="K34" s="16"/>
      <c r="L34" s="17"/>
      <c r="M34" s="16"/>
      <c r="N34" s="16"/>
      <c r="O34" s="16"/>
      <c r="P34" s="25"/>
      <c r="Q34" s="33"/>
      <c r="R34" s="23"/>
      <c r="S34" s="28"/>
      <c r="T34" s="34"/>
      <c r="U34" s="34"/>
    </row>
    <row r="35" spans="1:21" s="1" customFormat="1" ht="18.75" customHeight="1">
      <c r="A35" s="11">
        <v>33</v>
      </c>
      <c r="B35" s="41" t="s">
        <v>60</v>
      </c>
      <c r="C35" s="34" t="s">
        <v>28</v>
      </c>
      <c r="D35" s="36"/>
      <c r="E35" s="28"/>
      <c r="F35" s="23"/>
      <c r="G35" s="24"/>
      <c r="H35" s="39"/>
      <c r="I35" s="39"/>
      <c r="J35" s="30">
        <v>6</v>
      </c>
      <c r="K35" s="16">
        <f t="shared" si="7"/>
        <v>48</v>
      </c>
      <c r="L35" s="17">
        <v>6</v>
      </c>
      <c r="M35" s="16">
        <f t="shared" si="8"/>
        <v>72</v>
      </c>
      <c r="N35" s="16">
        <f t="shared" si="9"/>
        <v>24</v>
      </c>
      <c r="O35" s="16">
        <f t="shared" si="10"/>
        <v>144</v>
      </c>
      <c r="P35" s="25">
        <v>34</v>
      </c>
      <c r="Q35" s="33"/>
      <c r="R35" s="23">
        <v>30</v>
      </c>
      <c r="S35" s="28"/>
      <c r="T35" s="34"/>
      <c r="U35" s="34"/>
    </row>
    <row r="36" spans="1:21" ht="18.75" customHeight="1">
      <c r="A36" s="11">
        <v>34</v>
      </c>
      <c r="B36" s="41" t="s">
        <v>61</v>
      </c>
      <c r="C36" s="34" t="s">
        <v>28</v>
      </c>
      <c r="D36" s="36"/>
      <c r="E36" s="28"/>
      <c r="F36" s="23"/>
      <c r="G36" s="24"/>
      <c r="H36" s="39"/>
      <c r="I36" s="39"/>
      <c r="J36" s="30">
        <v>1</v>
      </c>
      <c r="K36" s="16">
        <f t="shared" si="7"/>
        <v>8</v>
      </c>
      <c r="L36" s="17">
        <v>2</v>
      </c>
      <c r="M36" s="16">
        <f t="shared" si="8"/>
        <v>24</v>
      </c>
      <c r="N36" s="16">
        <f t="shared" si="9"/>
        <v>8</v>
      </c>
      <c r="O36" s="16">
        <f t="shared" si="10"/>
        <v>40</v>
      </c>
      <c r="P36" s="25"/>
      <c r="Q36" s="33">
        <v>29</v>
      </c>
      <c r="R36" s="23">
        <v>61</v>
      </c>
      <c r="S36" s="28">
        <v>30</v>
      </c>
      <c r="T36" s="34"/>
      <c r="U36" s="34"/>
    </row>
    <row r="37" spans="1:21" s="1" customFormat="1" ht="18.75" customHeight="1">
      <c r="A37" s="11">
        <v>35</v>
      </c>
      <c r="B37" s="41" t="s">
        <v>62</v>
      </c>
      <c r="C37" s="34" t="s">
        <v>28</v>
      </c>
      <c r="D37" s="36"/>
      <c r="E37" s="28"/>
      <c r="F37" s="39"/>
      <c r="G37" s="31"/>
      <c r="H37" s="39"/>
      <c r="I37" s="39"/>
      <c r="J37" s="30">
        <v>5</v>
      </c>
      <c r="K37" s="16">
        <f t="shared" si="7"/>
        <v>40</v>
      </c>
      <c r="L37" s="17"/>
      <c r="M37" s="16"/>
      <c r="N37" s="16"/>
      <c r="O37" s="16">
        <f t="shared" si="10"/>
        <v>40</v>
      </c>
      <c r="P37" s="25"/>
      <c r="Q37" s="33">
        <v>16</v>
      </c>
      <c r="R37" s="23">
        <v>67</v>
      </c>
      <c r="S37" s="28"/>
      <c r="T37" s="34"/>
      <c r="U37" s="34"/>
    </row>
    <row r="38" spans="1:21" s="1" customFormat="1" ht="18.75" customHeight="1">
      <c r="A38" s="11">
        <v>36</v>
      </c>
      <c r="B38" s="41" t="s">
        <v>63</v>
      </c>
      <c r="C38" s="34" t="s">
        <v>28</v>
      </c>
      <c r="D38" s="36"/>
      <c r="E38" s="28"/>
      <c r="F38" s="23"/>
      <c r="G38" s="24"/>
      <c r="H38" s="39"/>
      <c r="I38" s="39" t="s">
        <v>528</v>
      </c>
      <c r="J38" s="30"/>
      <c r="K38" s="16"/>
      <c r="L38" s="17"/>
      <c r="M38" s="16"/>
      <c r="N38" s="16"/>
      <c r="O38" s="16"/>
      <c r="P38" s="25"/>
      <c r="Q38" s="33"/>
      <c r="R38" s="23"/>
      <c r="S38" s="28"/>
      <c r="T38" s="34"/>
      <c r="U38" s="34"/>
    </row>
    <row r="39" spans="1:21" s="1" customFormat="1" ht="18.75" customHeight="1">
      <c r="A39" s="11">
        <v>37</v>
      </c>
      <c r="B39" s="41" t="s">
        <v>64</v>
      </c>
      <c r="C39" s="34" t="s">
        <v>28</v>
      </c>
      <c r="D39" s="36"/>
      <c r="E39" s="28"/>
      <c r="G39" s="24">
        <v>8</v>
      </c>
      <c r="H39" s="39"/>
      <c r="I39" s="39"/>
      <c r="J39" s="30">
        <v>12.5</v>
      </c>
      <c r="K39" s="16">
        <f t="shared" si="7"/>
        <v>100</v>
      </c>
      <c r="L39" s="17">
        <v>18</v>
      </c>
      <c r="M39" s="16">
        <f t="shared" si="8"/>
        <v>216</v>
      </c>
      <c r="N39" s="16">
        <f t="shared" si="9"/>
        <v>72</v>
      </c>
      <c r="O39" s="16">
        <f t="shared" si="10"/>
        <v>388</v>
      </c>
      <c r="P39" s="25"/>
      <c r="Q39" s="33">
        <v>31</v>
      </c>
      <c r="R39" s="23">
        <v>64</v>
      </c>
      <c r="S39" s="28">
        <v>20</v>
      </c>
      <c r="T39" s="34"/>
      <c r="U39" s="34"/>
    </row>
    <row r="40" spans="1:21" s="1" customFormat="1" ht="18.75" customHeight="1">
      <c r="A40" s="11">
        <v>38</v>
      </c>
      <c r="B40" s="41" t="s">
        <v>65</v>
      </c>
      <c r="C40" s="34" t="s">
        <v>28</v>
      </c>
      <c r="D40" s="36"/>
      <c r="E40" s="28">
        <v>8</v>
      </c>
      <c r="F40" s="23"/>
      <c r="G40" s="24"/>
      <c r="H40" s="39"/>
      <c r="I40" s="39"/>
      <c r="J40" s="30">
        <v>2</v>
      </c>
      <c r="K40" s="16">
        <f t="shared" si="7"/>
        <v>16</v>
      </c>
      <c r="L40" s="17"/>
      <c r="M40" s="16"/>
      <c r="N40" s="16"/>
      <c r="O40" s="16">
        <f t="shared" si="10"/>
        <v>16</v>
      </c>
      <c r="P40" s="25"/>
      <c r="Q40" s="33"/>
      <c r="R40" s="23"/>
      <c r="S40" s="28"/>
      <c r="T40" s="34"/>
      <c r="U40" s="34"/>
    </row>
    <row r="41" spans="1:21" s="1" customFormat="1" ht="18.75" customHeight="1">
      <c r="A41" s="11">
        <v>39</v>
      </c>
      <c r="B41" s="42" t="s">
        <v>66</v>
      </c>
      <c r="C41" s="34" t="s">
        <v>28</v>
      </c>
      <c r="D41" s="12"/>
      <c r="E41" s="28"/>
      <c r="F41" s="23"/>
      <c r="G41" s="24"/>
      <c r="H41" s="39"/>
      <c r="I41" s="39"/>
      <c r="J41" s="30">
        <v>6.5</v>
      </c>
      <c r="K41" s="16">
        <f t="shared" si="7"/>
        <v>52</v>
      </c>
      <c r="L41" s="17">
        <v>11</v>
      </c>
      <c r="M41" s="16">
        <f t="shared" si="8"/>
        <v>132</v>
      </c>
      <c r="N41" s="16">
        <f t="shared" si="9"/>
        <v>44</v>
      </c>
      <c r="O41" s="16">
        <f t="shared" si="10"/>
        <v>228</v>
      </c>
      <c r="P41" s="25"/>
      <c r="Q41" s="33"/>
      <c r="R41" s="23"/>
      <c r="S41" s="28"/>
      <c r="T41" s="34"/>
      <c r="U41" s="34"/>
    </row>
    <row r="42" spans="1:21" s="1" customFormat="1" ht="18.75" customHeight="1">
      <c r="A42" s="11">
        <v>40</v>
      </c>
      <c r="B42" s="42" t="s">
        <v>67</v>
      </c>
      <c r="C42" s="34" t="s">
        <v>28</v>
      </c>
      <c r="D42" s="12"/>
      <c r="E42" s="28"/>
      <c r="F42" s="23"/>
      <c r="G42" s="24"/>
      <c r="H42" s="39"/>
      <c r="I42" s="39"/>
      <c r="J42" s="30">
        <v>1.5</v>
      </c>
      <c r="K42" s="16">
        <f t="shared" si="7"/>
        <v>12</v>
      </c>
      <c r="L42" s="17">
        <v>1</v>
      </c>
      <c r="M42" s="16">
        <f t="shared" si="8"/>
        <v>12</v>
      </c>
      <c r="N42" s="16">
        <f t="shared" si="9"/>
        <v>4</v>
      </c>
      <c r="O42" s="16">
        <f t="shared" si="10"/>
        <v>28</v>
      </c>
      <c r="P42" s="25"/>
      <c r="Q42" s="33">
        <v>32</v>
      </c>
      <c r="R42" s="23">
        <v>40</v>
      </c>
      <c r="S42" s="28">
        <v>30</v>
      </c>
      <c r="T42" s="34"/>
      <c r="U42" s="34"/>
    </row>
    <row r="43" spans="1:21" s="1" customFormat="1" ht="18.75" customHeight="1">
      <c r="A43" s="11">
        <v>41</v>
      </c>
      <c r="B43" s="42" t="s">
        <v>68</v>
      </c>
      <c r="C43" s="34" t="s">
        <v>28</v>
      </c>
      <c r="D43" s="21" t="s">
        <v>508</v>
      </c>
      <c r="E43" s="28"/>
      <c r="F43" s="23">
        <v>240</v>
      </c>
      <c r="G43" s="24">
        <v>16</v>
      </c>
      <c r="H43" s="39"/>
      <c r="I43" s="39"/>
      <c r="J43" s="30">
        <v>2</v>
      </c>
      <c r="K43" s="16">
        <f t="shared" si="7"/>
        <v>16</v>
      </c>
      <c r="L43" s="17"/>
      <c r="M43" s="16"/>
      <c r="N43" s="16"/>
      <c r="O43" s="16">
        <f t="shared" si="10"/>
        <v>16</v>
      </c>
      <c r="P43" s="25"/>
      <c r="Q43" s="33"/>
      <c r="R43" s="23"/>
      <c r="S43" s="28"/>
      <c r="T43" s="34"/>
      <c r="U43" s="34"/>
    </row>
    <row r="44" spans="1:21" s="1" customFormat="1" ht="18.75" customHeight="1">
      <c r="A44" s="11">
        <v>42</v>
      </c>
      <c r="B44" s="42" t="s">
        <v>69</v>
      </c>
      <c r="C44" s="34" t="s">
        <v>28</v>
      </c>
      <c r="D44" s="21"/>
      <c r="E44" s="28">
        <v>28</v>
      </c>
      <c r="F44" s="23"/>
      <c r="G44" s="24"/>
      <c r="H44" s="39"/>
      <c r="I44" s="39"/>
      <c r="J44" s="30">
        <v>2</v>
      </c>
      <c r="K44" s="16">
        <f t="shared" si="7"/>
        <v>16</v>
      </c>
      <c r="L44" s="17"/>
      <c r="M44" s="16"/>
      <c r="N44" s="16"/>
      <c r="O44" s="16">
        <f t="shared" si="10"/>
        <v>16</v>
      </c>
      <c r="P44" s="25"/>
      <c r="Q44" s="33"/>
      <c r="R44" s="23"/>
      <c r="S44" s="28"/>
      <c r="T44" s="34"/>
      <c r="U44" s="34"/>
    </row>
    <row r="45" spans="1:21" s="1" customFormat="1" ht="18.75" customHeight="1">
      <c r="A45" s="11">
        <v>43</v>
      </c>
      <c r="B45" s="42" t="s">
        <v>70</v>
      </c>
      <c r="C45" s="34" t="s">
        <v>28</v>
      </c>
      <c r="D45" s="21"/>
      <c r="E45" s="28"/>
      <c r="F45" s="23"/>
      <c r="G45" s="24"/>
      <c r="H45" s="39"/>
      <c r="I45" s="39"/>
      <c r="J45" s="30">
        <v>8</v>
      </c>
      <c r="K45" s="16">
        <f t="shared" si="7"/>
        <v>64</v>
      </c>
      <c r="L45" s="17">
        <v>8</v>
      </c>
      <c r="M45" s="16">
        <f t="shared" si="8"/>
        <v>96</v>
      </c>
      <c r="N45" s="16">
        <f t="shared" si="9"/>
        <v>32</v>
      </c>
      <c r="O45" s="16">
        <f t="shared" si="10"/>
        <v>192</v>
      </c>
      <c r="P45" s="25"/>
      <c r="Q45" s="33">
        <v>27</v>
      </c>
      <c r="R45" s="23">
        <v>63</v>
      </c>
      <c r="S45" s="28">
        <v>30</v>
      </c>
      <c r="T45" s="34"/>
      <c r="U45" s="34"/>
    </row>
    <row r="46" spans="1:21" s="1" customFormat="1" ht="18.75" customHeight="1">
      <c r="A46" s="11">
        <v>44</v>
      </c>
      <c r="B46" s="42" t="s">
        <v>71</v>
      </c>
      <c r="C46" s="34" t="s">
        <v>28</v>
      </c>
      <c r="D46" s="43"/>
      <c r="E46" s="28"/>
      <c r="F46" s="23"/>
      <c r="G46" s="24"/>
      <c r="H46" s="39"/>
      <c r="I46" s="39"/>
      <c r="J46" s="30">
        <v>10.5</v>
      </c>
      <c r="K46" s="16">
        <f t="shared" si="7"/>
        <v>84</v>
      </c>
      <c r="L46" s="17">
        <v>5</v>
      </c>
      <c r="M46" s="16">
        <f t="shared" si="8"/>
        <v>60</v>
      </c>
      <c r="N46" s="16">
        <f t="shared" si="9"/>
        <v>20</v>
      </c>
      <c r="O46" s="16">
        <f t="shared" si="10"/>
        <v>164</v>
      </c>
      <c r="P46" s="25"/>
      <c r="Q46" s="33">
        <v>28</v>
      </c>
      <c r="R46" s="23">
        <v>64</v>
      </c>
      <c r="S46" s="28"/>
      <c r="T46" s="34"/>
      <c r="U46" s="34"/>
    </row>
    <row r="47" spans="1:21" s="1" customFormat="1" ht="18.75" customHeight="1">
      <c r="A47" s="11">
        <v>45</v>
      </c>
      <c r="B47" s="42" t="s">
        <v>73</v>
      </c>
      <c r="C47" s="34" t="s">
        <v>28</v>
      </c>
      <c r="D47" s="44"/>
      <c r="E47" s="28"/>
      <c r="F47" s="23"/>
      <c r="G47" s="24">
        <v>4</v>
      </c>
      <c r="H47" s="39"/>
      <c r="I47" s="39"/>
      <c r="J47" s="30">
        <v>4</v>
      </c>
      <c r="K47" s="16">
        <f t="shared" si="7"/>
        <v>32</v>
      </c>
      <c r="L47" s="17"/>
      <c r="M47" s="16"/>
      <c r="N47" s="16"/>
      <c r="O47" s="16">
        <f t="shared" si="10"/>
        <v>32</v>
      </c>
      <c r="P47" s="25"/>
      <c r="Q47" s="33">
        <v>27</v>
      </c>
      <c r="R47" s="23">
        <v>28</v>
      </c>
      <c r="S47" s="28">
        <v>20</v>
      </c>
      <c r="T47" s="34"/>
      <c r="U47" s="34"/>
    </row>
    <row r="48" spans="1:21" s="1" customFormat="1" ht="18.75" customHeight="1">
      <c r="A48" s="11">
        <v>46</v>
      </c>
      <c r="B48" s="42" t="s">
        <v>74</v>
      </c>
      <c r="C48" s="34" t="s">
        <v>28</v>
      </c>
      <c r="D48" s="44"/>
      <c r="E48" s="28"/>
      <c r="F48" s="23"/>
      <c r="G48" s="24"/>
      <c r="H48" s="39"/>
      <c r="I48" s="39"/>
      <c r="J48" s="30">
        <v>8.5</v>
      </c>
      <c r="K48" s="16">
        <f t="shared" si="7"/>
        <v>68</v>
      </c>
      <c r="L48" s="17">
        <v>11</v>
      </c>
      <c r="M48" s="16">
        <f t="shared" si="8"/>
        <v>132</v>
      </c>
      <c r="N48" s="16">
        <f t="shared" si="9"/>
        <v>44</v>
      </c>
      <c r="O48" s="16">
        <f t="shared" si="10"/>
        <v>244</v>
      </c>
      <c r="P48" s="25"/>
      <c r="Q48" s="33">
        <v>34</v>
      </c>
      <c r="R48" s="23">
        <v>68</v>
      </c>
      <c r="S48" s="28">
        <v>20</v>
      </c>
      <c r="T48" s="34"/>
      <c r="U48" s="34"/>
    </row>
    <row r="49" spans="1:21" s="1" customFormat="1" ht="18.75" customHeight="1">
      <c r="A49" s="11">
        <v>47</v>
      </c>
      <c r="B49" s="42" t="s">
        <v>75</v>
      </c>
      <c r="C49" s="34" t="s">
        <v>28</v>
      </c>
      <c r="D49" s="44"/>
      <c r="E49" s="28"/>
      <c r="F49" s="39"/>
      <c r="G49" s="31"/>
      <c r="H49" s="39"/>
      <c r="I49" s="39"/>
      <c r="J49" s="30">
        <v>1</v>
      </c>
      <c r="K49" s="16">
        <f t="shared" si="7"/>
        <v>8</v>
      </c>
      <c r="L49" s="17"/>
      <c r="M49" s="16"/>
      <c r="N49" s="16"/>
      <c r="O49" s="16">
        <f t="shared" si="10"/>
        <v>8</v>
      </c>
      <c r="P49" s="25">
        <v>28</v>
      </c>
      <c r="Q49" s="33"/>
      <c r="R49" s="23"/>
      <c r="S49" s="28">
        <v>52</v>
      </c>
      <c r="T49" s="34"/>
      <c r="U49" s="34"/>
    </row>
    <row r="50" spans="1:21" s="1" customFormat="1" ht="18.75" customHeight="1">
      <c r="A50" s="11">
        <v>48</v>
      </c>
      <c r="B50" s="42" t="s">
        <v>76</v>
      </c>
      <c r="C50" s="34" t="s">
        <v>28</v>
      </c>
      <c r="D50" s="44"/>
      <c r="E50" s="28"/>
      <c r="F50" s="23"/>
      <c r="G50" s="24"/>
      <c r="H50" s="39"/>
      <c r="I50" s="39"/>
      <c r="J50" s="30">
        <v>3</v>
      </c>
      <c r="K50" s="16">
        <f t="shared" si="7"/>
        <v>24</v>
      </c>
      <c r="L50" s="17"/>
      <c r="M50" s="16"/>
      <c r="N50" s="16"/>
      <c r="O50" s="16">
        <f t="shared" si="10"/>
        <v>24</v>
      </c>
      <c r="P50" s="25">
        <v>28</v>
      </c>
      <c r="Q50" s="33"/>
      <c r="R50" s="23"/>
      <c r="S50" s="28"/>
      <c r="T50" s="34"/>
      <c r="U50" s="34"/>
    </row>
    <row r="51" spans="1:21" s="1" customFormat="1" ht="18.75" customHeight="1">
      <c r="A51" s="11">
        <v>49</v>
      </c>
      <c r="B51" s="42" t="s">
        <v>77</v>
      </c>
      <c r="C51" s="34" t="s">
        <v>28</v>
      </c>
      <c r="D51" s="44"/>
      <c r="E51" s="28"/>
      <c r="F51" s="23"/>
      <c r="G51" s="24">
        <v>12</v>
      </c>
      <c r="H51" s="39"/>
      <c r="I51" s="39"/>
      <c r="J51" s="30">
        <v>1</v>
      </c>
      <c r="K51" s="16">
        <f t="shared" si="7"/>
        <v>8</v>
      </c>
      <c r="L51" s="17"/>
      <c r="M51" s="16"/>
      <c r="N51" s="16"/>
      <c r="O51" s="16">
        <f t="shared" si="10"/>
        <v>8</v>
      </c>
      <c r="P51" s="25"/>
      <c r="Q51" s="33">
        <v>27</v>
      </c>
      <c r="R51" s="23">
        <v>64</v>
      </c>
      <c r="S51" s="28">
        <v>20</v>
      </c>
      <c r="T51" s="34"/>
      <c r="U51" s="34"/>
    </row>
    <row r="52" spans="1:21" s="1" customFormat="1" ht="18.75" customHeight="1">
      <c r="A52" s="11">
        <v>50</v>
      </c>
      <c r="B52" s="42" t="s">
        <v>79</v>
      </c>
      <c r="C52" s="34" t="s">
        <v>28</v>
      </c>
      <c r="D52" s="44"/>
      <c r="E52" s="28"/>
      <c r="F52" s="23"/>
      <c r="G52" s="24"/>
      <c r="H52" s="39"/>
      <c r="I52" s="39"/>
      <c r="J52" s="30">
        <v>7</v>
      </c>
      <c r="K52" s="16">
        <f t="shared" si="7"/>
        <v>56</v>
      </c>
      <c r="L52" s="17">
        <v>6</v>
      </c>
      <c r="M52" s="16">
        <f t="shared" si="8"/>
        <v>72</v>
      </c>
      <c r="N52" s="16">
        <f t="shared" si="9"/>
        <v>24</v>
      </c>
      <c r="O52" s="16">
        <f t="shared" si="10"/>
        <v>152</v>
      </c>
      <c r="P52" s="25">
        <v>31</v>
      </c>
      <c r="Q52" s="33"/>
      <c r="R52" s="23">
        <v>20</v>
      </c>
      <c r="S52" s="28"/>
      <c r="T52" s="34"/>
      <c r="U52" s="34"/>
    </row>
    <row r="53" spans="1:21" s="1" customFormat="1" ht="18.75" customHeight="1">
      <c r="A53" s="11">
        <v>51</v>
      </c>
      <c r="B53" s="42" t="s">
        <v>82</v>
      </c>
      <c r="C53" s="34" t="s">
        <v>28</v>
      </c>
      <c r="D53" s="44"/>
      <c r="E53" s="28"/>
      <c r="F53" s="23"/>
      <c r="G53" s="24"/>
      <c r="H53" s="39"/>
      <c r="I53" s="39"/>
      <c r="J53" s="30">
        <v>7</v>
      </c>
      <c r="K53" s="16">
        <f t="shared" si="7"/>
        <v>56</v>
      </c>
      <c r="L53" s="17">
        <v>13</v>
      </c>
      <c r="M53" s="16">
        <f t="shared" si="8"/>
        <v>156</v>
      </c>
      <c r="N53" s="16">
        <f t="shared" si="9"/>
        <v>52</v>
      </c>
      <c r="O53" s="16">
        <f t="shared" si="10"/>
        <v>264</v>
      </c>
      <c r="P53" s="25">
        <v>29</v>
      </c>
      <c r="Q53" s="33"/>
      <c r="R53" s="23">
        <v>30</v>
      </c>
      <c r="S53" s="28"/>
      <c r="T53" s="34"/>
      <c r="U53" s="34"/>
    </row>
    <row r="54" spans="1:21" s="1" customFormat="1" ht="18.75" customHeight="1">
      <c r="A54" s="11">
        <v>52</v>
      </c>
      <c r="B54" s="42" t="s">
        <v>425</v>
      </c>
      <c r="C54" s="34" t="s">
        <v>28</v>
      </c>
      <c r="D54" s="44"/>
      <c r="E54" s="28"/>
      <c r="F54" s="23"/>
      <c r="G54" s="24">
        <v>16</v>
      </c>
      <c r="H54" s="39"/>
      <c r="I54" s="39"/>
      <c r="J54" s="30">
        <v>4.5</v>
      </c>
      <c r="K54" s="16">
        <f>J54*8</f>
        <v>36</v>
      </c>
      <c r="L54" s="17">
        <v>3</v>
      </c>
      <c r="M54" s="16">
        <f t="shared" si="8"/>
        <v>36</v>
      </c>
      <c r="N54" s="16">
        <f t="shared" si="9"/>
        <v>12</v>
      </c>
      <c r="O54" s="16">
        <f t="shared" si="10"/>
        <v>84</v>
      </c>
      <c r="P54" s="25"/>
      <c r="Q54" s="33">
        <v>34</v>
      </c>
      <c r="R54" s="23">
        <v>66</v>
      </c>
      <c r="S54" s="28">
        <v>20</v>
      </c>
      <c r="T54" s="34"/>
      <c r="U54" s="34"/>
    </row>
    <row r="55" spans="1:21" s="1" customFormat="1" ht="18.75" customHeight="1">
      <c r="A55" s="11">
        <v>53</v>
      </c>
      <c r="B55" s="42" t="s">
        <v>496</v>
      </c>
      <c r="C55" s="34" t="s">
        <v>28</v>
      </c>
      <c r="D55" s="44" t="s">
        <v>497</v>
      </c>
      <c r="E55" s="28"/>
      <c r="F55" s="23"/>
      <c r="G55" s="24"/>
      <c r="H55" s="39"/>
      <c r="I55" s="39"/>
      <c r="J55" s="30">
        <v>5.5</v>
      </c>
      <c r="K55" s="16">
        <f t="shared" ref="K55:K57" si="11">J55*8</f>
        <v>44</v>
      </c>
      <c r="L55" s="17">
        <v>11</v>
      </c>
      <c r="M55" s="16">
        <f t="shared" ref="M55:M57" si="12">L55*12</f>
        <v>132</v>
      </c>
      <c r="N55" s="16">
        <f t="shared" ref="N55:N57" si="13">L55*4</f>
        <v>44</v>
      </c>
      <c r="O55" s="16">
        <f t="shared" ref="O55:O57" si="14">N55+M55+K55</f>
        <v>220</v>
      </c>
      <c r="P55" s="25"/>
      <c r="Q55" s="33">
        <v>28</v>
      </c>
      <c r="R55" s="23">
        <v>64</v>
      </c>
      <c r="S55" s="28"/>
      <c r="T55" s="34"/>
      <c r="U55" s="34"/>
    </row>
    <row r="56" spans="1:21" s="1" customFormat="1" ht="18.75" customHeight="1">
      <c r="A56" s="11">
        <v>54</v>
      </c>
      <c r="B56" s="42" t="s">
        <v>498</v>
      </c>
      <c r="C56" s="34" t="s">
        <v>28</v>
      </c>
      <c r="D56" s="44" t="s">
        <v>499</v>
      </c>
      <c r="E56" s="28"/>
      <c r="F56" s="23"/>
      <c r="G56" s="24"/>
      <c r="H56" s="39"/>
      <c r="I56" s="39"/>
      <c r="J56" s="30">
        <v>1</v>
      </c>
      <c r="K56" s="16">
        <f t="shared" ref="K56" si="15">J56*8</f>
        <v>8</v>
      </c>
      <c r="L56" s="17">
        <v>2</v>
      </c>
      <c r="M56" s="16">
        <f t="shared" ref="M56" si="16">L56*12</f>
        <v>24</v>
      </c>
      <c r="N56" s="16">
        <f t="shared" ref="N56" si="17">L56*4</f>
        <v>8</v>
      </c>
      <c r="O56" s="16">
        <f t="shared" ref="O56" si="18">N56+M56+K56</f>
        <v>40</v>
      </c>
      <c r="P56" s="25">
        <v>13</v>
      </c>
      <c r="Q56" s="33"/>
      <c r="R56" s="23"/>
      <c r="S56" s="28"/>
      <c r="T56" s="34"/>
      <c r="U56" s="34"/>
    </row>
    <row r="57" spans="1:21" ht="18.75" customHeight="1">
      <c r="A57" s="11">
        <v>55</v>
      </c>
      <c r="B57" s="41" t="s">
        <v>83</v>
      </c>
      <c r="C57" s="34" t="s">
        <v>84</v>
      </c>
      <c r="D57" s="44"/>
      <c r="E57" s="28"/>
      <c r="F57" s="23"/>
      <c r="G57" s="24"/>
      <c r="H57" s="39"/>
      <c r="I57" s="39"/>
      <c r="J57" s="30">
        <v>3.5</v>
      </c>
      <c r="K57" s="16">
        <f t="shared" si="11"/>
        <v>28</v>
      </c>
      <c r="L57" s="17">
        <v>3</v>
      </c>
      <c r="M57" s="16">
        <f t="shared" si="12"/>
        <v>36</v>
      </c>
      <c r="N57" s="16">
        <f t="shared" si="13"/>
        <v>12</v>
      </c>
      <c r="O57" s="16">
        <f t="shared" si="14"/>
        <v>76</v>
      </c>
      <c r="P57" s="25"/>
      <c r="Q57" s="33">
        <v>35</v>
      </c>
      <c r="R57" s="23">
        <v>65.5</v>
      </c>
      <c r="S57" s="28">
        <v>20</v>
      </c>
      <c r="T57" s="34"/>
      <c r="U57" s="34"/>
    </row>
    <row r="58" spans="1:21" ht="18.75" customHeight="1">
      <c r="A58" s="11">
        <v>56</v>
      </c>
      <c r="B58" s="41" t="s">
        <v>86</v>
      </c>
      <c r="C58" s="34" t="s">
        <v>84</v>
      </c>
      <c r="D58" s="36"/>
      <c r="E58" s="28"/>
      <c r="F58" s="23"/>
      <c r="G58" s="24">
        <v>16</v>
      </c>
      <c r="H58" s="39"/>
      <c r="I58" s="39"/>
      <c r="J58" s="30">
        <v>4.5</v>
      </c>
      <c r="K58" s="16">
        <f t="shared" si="7"/>
        <v>36</v>
      </c>
      <c r="L58" s="17">
        <v>9</v>
      </c>
      <c r="M58" s="16">
        <f t="shared" si="8"/>
        <v>108</v>
      </c>
      <c r="N58" s="16">
        <f t="shared" si="9"/>
        <v>36</v>
      </c>
      <c r="O58" s="16">
        <f t="shared" si="10"/>
        <v>180</v>
      </c>
      <c r="P58" s="25">
        <v>34.5</v>
      </c>
      <c r="Q58" s="23"/>
      <c r="R58" s="23">
        <v>30</v>
      </c>
      <c r="S58" s="23"/>
      <c r="U58" s="34"/>
    </row>
    <row r="59" spans="1:21" ht="18.75" customHeight="1">
      <c r="A59" s="11">
        <v>57</v>
      </c>
      <c r="B59" s="41" t="s">
        <v>87</v>
      </c>
      <c r="C59" s="34" t="s">
        <v>84</v>
      </c>
      <c r="D59" s="36"/>
      <c r="E59" s="28"/>
      <c r="F59" s="23"/>
      <c r="G59" s="24"/>
      <c r="H59" s="39"/>
      <c r="I59" s="39"/>
      <c r="J59" s="30">
        <v>2.5</v>
      </c>
      <c r="K59" s="16">
        <f t="shared" si="7"/>
        <v>20</v>
      </c>
      <c r="L59" s="17">
        <v>3</v>
      </c>
      <c r="M59" s="16">
        <f t="shared" si="8"/>
        <v>36</v>
      </c>
      <c r="N59" s="16">
        <f t="shared" si="9"/>
        <v>12</v>
      </c>
      <c r="O59" s="16">
        <f t="shared" si="10"/>
        <v>68</v>
      </c>
      <c r="P59" s="25"/>
      <c r="Q59" s="33">
        <v>32</v>
      </c>
      <c r="R59" s="23">
        <v>80</v>
      </c>
      <c r="S59" s="28">
        <v>10</v>
      </c>
      <c r="T59" s="34"/>
      <c r="U59" s="34"/>
    </row>
    <row r="60" spans="1:21" ht="18.75" customHeight="1">
      <c r="A60" s="11">
        <v>58</v>
      </c>
      <c r="B60" s="41" t="s">
        <v>88</v>
      </c>
      <c r="C60" s="34" t="s">
        <v>84</v>
      </c>
      <c r="D60" s="36"/>
      <c r="E60" s="28"/>
      <c r="F60" s="23"/>
      <c r="G60" s="24"/>
      <c r="H60" s="39"/>
      <c r="I60" s="39"/>
      <c r="J60" s="30">
        <v>5.5</v>
      </c>
      <c r="K60" s="16">
        <f t="shared" si="7"/>
        <v>44</v>
      </c>
      <c r="L60" s="17">
        <v>6</v>
      </c>
      <c r="M60" s="16">
        <f t="shared" si="8"/>
        <v>72</v>
      </c>
      <c r="N60" s="16">
        <f t="shared" si="9"/>
        <v>24</v>
      </c>
      <c r="O60" s="16">
        <f t="shared" si="10"/>
        <v>140</v>
      </c>
      <c r="P60" s="25"/>
      <c r="Q60" s="33">
        <v>28</v>
      </c>
      <c r="R60" s="23">
        <v>60</v>
      </c>
      <c r="S60" s="28">
        <v>40</v>
      </c>
      <c r="T60" s="34"/>
      <c r="U60" s="34"/>
    </row>
    <row r="61" spans="1:21" ht="18.75" customHeight="1">
      <c r="A61" s="11">
        <v>59</v>
      </c>
      <c r="B61" s="41" t="s">
        <v>90</v>
      </c>
      <c r="C61" s="34" t="s">
        <v>84</v>
      </c>
      <c r="D61" s="36"/>
      <c r="E61" s="28"/>
      <c r="F61" s="23"/>
      <c r="G61" s="24"/>
      <c r="H61" s="39"/>
      <c r="I61" s="39"/>
      <c r="J61" s="30">
        <v>1</v>
      </c>
      <c r="K61" s="16">
        <f t="shared" si="7"/>
        <v>8</v>
      </c>
      <c r="L61" s="17">
        <v>2</v>
      </c>
      <c r="M61" s="16">
        <f t="shared" si="8"/>
        <v>24</v>
      </c>
      <c r="N61" s="16">
        <f t="shared" si="9"/>
        <v>8</v>
      </c>
      <c r="O61" s="16">
        <f t="shared" si="10"/>
        <v>40</v>
      </c>
      <c r="P61" s="25"/>
      <c r="Q61" s="33">
        <v>28</v>
      </c>
      <c r="R61" s="23">
        <v>72</v>
      </c>
      <c r="S61" s="28">
        <v>30</v>
      </c>
      <c r="T61" s="34"/>
      <c r="U61" s="34"/>
    </row>
    <row r="62" spans="1:21" ht="18.75" customHeight="1">
      <c r="A62" s="11">
        <v>60</v>
      </c>
      <c r="B62" s="41" t="s">
        <v>91</v>
      </c>
      <c r="C62" s="34" t="s">
        <v>84</v>
      </c>
      <c r="D62" s="36"/>
      <c r="E62" s="28"/>
      <c r="F62" s="23"/>
      <c r="G62" s="24"/>
      <c r="H62" s="39"/>
      <c r="I62" s="39"/>
      <c r="J62" s="30">
        <v>3</v>
      </c>
      <c r="K62" s="16">
        <f t="shared" si="7"/>
        <v>24</v>
      </c>
      <c r="L62" s="17"/>
      <c r="M62" s="16"/>
      <c r="N62" s="16"/>
      <c r="O62" s="16">
        <f t="shared" si="10"/>
        <v>24</v>
      </c>
      <c r="P62" s="25">
        <v>27</v>
      </c>
      <c r="Q62" s="33"/>
      <c r="R62" s="23">
        <v>50</v>
      </c>
      <c r="S62" s="28"/>
      <c r="T62" s="34"/>
      <c r="U62" s="34"/>
    </row>
    <row r="63" spans="1:21" ht="18.75" customHeight="1">
      <c r="A63" s="11">
        <v>61</v>
      </c>
      <c r="B63" s="41" t="s">
        <v>92</v>
      </c>
      <c r="C63" s="34" t="s">
        <v>84</v>
      </c>
      <c r="D63" s="36"/>
      <c r="E63" s="28"/>
      <c r="F63" s="23"/>
      <c r="G63" s="24"/>
      <c r="H63" s="39"/>
      <c r="I63" s="39"/>
      <c r="J63" s="30">
        <v>1</v>
      </c>
      <c r="K63" s="16">
        <f t="shared" si="7"/>
        <v>8</v>
      </c>
      <c r="L63" s="17">
        <v>2</v>
      </c>
      <c r="M63" s="16">
        <f t="shared" si="8"/>
        <v>24</v>
      </c>
      <c r="N63" s="16">
        <f t="shared" si="9"/>
        <v>8</v>
      </c>
      <c r="O63" s="16">
        <f t="shared" si="10"/>
        <v>40</v>
      </c>
      <c r="P63" s="25"/>
      <c r="Q63" s="33">
        <v>27</v>
      </c>
      <c r="R63" s="23">
        <v>68.5</v>
      </c>
      <c r="S63" s="28">
        <v>10</v>
      </c>
      <c r="T63" s="34"/>
      <c r="U63" s="34"/>
    </row>
    <row r="64" spans="1:21" ht="18.75" customHeight="1">
      <c r="A64" s="11">
        <v>62</v>
      </c>
      <c r="B64" s="41" t="s">
        <v>93</v>
      </c>
      <c r="C64" s="34" t="s">
        <v>84</v>
      </c>
      <c r="D64" s="36"/>
      <c r="E64" s="28"/>
      <c r="F64" s="23"/>
      <c r="G64" s="24"/>
      <c r="H64" s="39"/>
      <c r="I64" s="39"/>
      <c r="J64" s="30">
        <v>12</v>
      </c>
      <c r="K64" s="16">
        <f t="shared" si="7"/>
        <v>96</v>
      </c>
      <c r="L64" s="17">
        <v>3</v>
      </c>
      <c r="M64" s="16">
        <f t="shared" si="8"/>
        <v>36</v>
      </c>
      <c r="N64" s="16">
        <f t="shared" si="9"/>
        <v>12</v>
      </c>
      <c r="O64" s="16">
        <f t="shared" si="10"/>
        <v>144</v>
      </c>
      <c r="P64" s="25">
        <v>33</v>
      </c>
      <c r="Q64" s="33"/>
      <c r="R64" s="23">
        <v>10</v>
      </c>
      <c r="S64" s="28"/>
      <c r="T64" s="34"/>
      <c r="U64" s="34"/>
    </row>
    <row r="65" spans="1:21" ht="18.75" customHeight="1">
      <c r="A65" s="11">
        <v>63</v>
      </c>
      <c r="B65" s="41" t="s">
        <v>94</v>
      </c>
      <c r="C65" s="34" t="s">
        <v>84</v>
      </c>
      <c r="D65" s="36"/>
      <c r="E65" s="28"/>
      <c r="F65" s="23"/>
      <c r="G65" s="24">
        <v>8</v>
      </c>
      <c r="H65" s="39"/>
      <c r="I65" s="39"/>
      <c r="J65" s="30">
        <v>2</v>
      </c>
      <c r="K65" s="16">
        <f t="shared" si="7"/>
        <v>16</v>
      </c>
      <c r="L65" s="17">
        <v>2</v>
      </c>
      <c r="M65" s="16">
        <f t="shared" si="8"/>
        <v>24</v>
      </c>
      <c r="N65" s="16">
        <f t="shared" si="9"/>
        <v>8</v>
      </c>
      <c r="O65" s="16">
        <f t="shared" si="10"/>
        <v>48</v>
      </c>
      <c r="P65" s="25"/>
      <c r="Q65" s="33"/>
      <c r="R65" s="23"/>
      <c r="S65" s="28"/>
      <c r="T65" s="34"/>
      <c r="U65" s="34"/>
    </row>
    <row r="66" spans="1:21" ht="18.75" customHeight="1">
      <c r="A66" s="11">
        <v>64</v>
      </c>
      <c r="B66" s="41" t="s">
        <v>95</v>
      </c>
      <c r="C66" s="34" t="s">
        <v>96</v>
      </c>
      <c r="D66" s="36"/>
      <c r="E66" s="28"/>
      <c r="F66" s="23"/>
      <c r="G66" s="24"/>
      <c r="H66" s="39"/>
      <c r="I66" s="39"/>
      <c r="J66" s="30">
        <v>6</v>
      </c>
      <c r="K66" s="16">
        <f t="shared" si="7"/>
        <v>48</v>
      </c>
      <c r="L66" s="17">
        <v>2</v>
      </c>
      <c r="M66" s="16">
        <f t="shared" si="8"/>
        <v>24</v>
      </c>
      <c r="N66" s="16">
        <f t="shared" si="9"/>
        <v>8</v>
      </c>
      <c r="O66" s="16">
        <f t="shared" si="10"/>
        <v>80</v>
      </c>
      <c r="P66" s="25"/>
      <c r="Q66" s="33">
        <v>28</v>
      </c>
      <c r="R66" s="23">
        <v>57.5</v>
      </c>
      <c r="S66" s="28">
        <v>40</v>
      </c>
      <c r="T66" s="34"/>
      <c r="U66" s="34"/>
    </row>
    <row r="67" spans="1:21" ht="18.75" customHeight="1">
      <c r="A67" s="11">
        <v>65</v>
      </c>
      <c r="B67" s="41" t="s">
        <v>97</v>
      </c>
      <c r="C67" s="34" t="s">
        <v>96</v>
      </c>
      <c r="D67" s="36"/>
      <c r="E67" s="28"/>
      <c r="F67" s="23"/>
      <c r="G67" s="24"/>
      <c r="H67" s="39"/>
      <c r="I67" s="39"/>
      <c r="J67" s="30"/>
      <c r="K67" s="16"/>
      <c r="L67" s="17"/>
      <c r="M67" s="16"/>
      <c r="N67" s="16"/>
      <c r="O67" s="16"/>
      <c r="P67" s="25"/>
      <c r="Q67" s="33">
        <v>29.5</v>
      </c>
      <c r="R67" s="23">
        <v>62.5</v>
      </c>
      <c r="S67" s="28">
        <v>30</v>
      </c>
      <c r="T67" s="34"/>
      <c r="U67" s="34"/>
    </row>
    <row r="68" spans="1:21" ht="18.75" customHeight="1">
      <c r="A68" s="11">
        <v>66</v>
      </c>
      <c r="B68" s="41" t="s">
        <v>98</v>
      </c>
      <c r="C68" s="34" t="s">
        <v>96</v>
      </c>
      <c r="D68" s="36"/>
      <c r="E68" s="28"/>
      <c r="F68" s="23"/>
      <c r="G68" s="24"/>
      <c r="H68" s="39"/>
      <c r="I68" s="39"/>
      <c r="J68" s="30">
        <v>11</v>
      </c>
      <c r="K68" s="16">
        <f t="shared" si="7"/>
        <v>88</v>
      </c>
      <c r="L68" s="17">
        <v>16</v>
      </c>
      <c r="M68" s="16">
        <f t="shared" si="8"/>
        <v>192</v>
      </c>
      <c r="N68" s="16">
        <f t="shared" si="9"/>
        <v>64</v>
      </c>
      <c r="O68" s="16">
        <f t="shared" si="10"/>
        <v>344</v>
      </c>
      <c r="P68" s="25"/>
      <c r="Q68" s="33"/>
      <c r="R68" s="23"/>
      <c r="S68" s="28"/>
      <c r="T68" s="34"/>
      <c r="U68" s="34"/>
    </row>
    <row r="69" spans="1:21" ht="18.75" customHeight="1">
      <c r="A69" s="11">
        <v>67</v>
      </c>
      <c r="B69" s="41" t="s">
        <v>99</v>
      </c>
      <c r="C69" s="34" t="s">
        <v>96</v>
      </c>
      <c r="D69" s="36"/>
      <c r="E69" s="28"/>
      <c r="F69" s="23"/>
      <c r="G69" s="24"/>
      <c r="H69" s="39"/>
      <c r="I69" s="39"/>
      <c r="J69" s="30">
        <v>12</v>
      </c>
      <c r="K69" s="16">
        <f t="shared" si="7"/>
        <v>96</v>
      </c>
      <c r="L69" s="17">
        <v>3</v>
      </c>
      <c r="M69" s="16">
        <f t="shared" si="8"/>
        <v>36</v>
      </c>
      <c r="N69" s="16">
        <f t="shared" si="9"/>
        <v>12</v>
      </c>
      <c r="O69" s="16">
        <f t="shared" si="10"/>
        <v>144</v>
      </c>
      <c r="P69" s="25">
        <v>28</v>
      </c>
      <c r="Q69" s="33"/>
      <c r="R69" s="23">
        <v>30</v>
      </c>
      <c r="S69" s="28"/>
      <c r="T69" s="34"/>
      <c r="U69" s="34"/>
    </row>
    <row r="70" spans="1:21" ht="18.75" customHeight="1">
      <c r="A70" s="11">
        <v>68</v>
      </c>
      <c r="B70" s="41" t="s">
        <v>100</v>
      </c>
      <c r="C70" s="34" t="s">
        <v>96</v>
      </c>
      <c r="D70" s="36"/>
      <c r="E70" s="28"/>
      <c r="F70" s="23"/>
      <c r="G70" s="24"/>
      <c r="H70" s="39"/>
      <c r="I70" s="39"/>
      <c r="J70" s="30"/>
      <c r="K70" s="16"/>
      <c r="L70" s="17"/>
      <c r="M70" s="16"/>
      <c r="N70" s="16"/>
      <c r="O70" s="16"/>
      <c r="P70" s="25">
        <v>33</v>
      </c>
      <c r="Q70" s="33"/>
      <c r="R70" s="23">
        <v>40</v>
      </c>
      <c r="S70" s="28"/>
      <c r="T70" s="34"/>
      <c r="U70" s="34"/>
    </row>
    <row r="71" spans="1:21" ht="18.75" customHeight="1">
      <c r="A71" s="11">
        <v>69</v>
      </c>
      <c r="B71" s="41" t="s">
        <v>101</v>
      </c>
      <c r="C71" s="34" t="s">
        <v>96</v>
      </c>
      <c r="D71" s="36"/>
      <c r="E71" s="28"/>
      <c r="F71" s="23"/>
      <c r="G71" s="24"/>
      <c r="H71" s="39"/>
      <c r="I71" s="39"/>
      <c r="J71" s="30">
        <v>3</v>
      </c>
      <c r="K71" s="16">
        <f t="shared" si="7"/>
        <v>24</v>
      </c>
      <c r="L71" s="17">
        <v>2</v>
      </c>
      <c r="M71" s="16">
        <f t="shared" si="8"/>
        <v>24</v>
      </c>
      <c r="N71" s="16">
        <f t="shared" si="9"/>
        <v>8</v>
      </c>
      <c r="O71" s="16">
        <f t="shared" si="10"/>
        <v>56</v>
      </c>
      <c r="P71" s="25"/>
      <c r="Q71" s="33">
        <v>28</v>
      </c>
      <c r="R71" s="23">
        <v>70</v>
      </c>
      <c r="S71" s="28"/>
      <c r="T71" s="34"/>
      <c r="U71" s="34"/>
    </row>
    <row r="72" spans="1:21" ht="18.75" customHeight="1">
      <c r="A72" s="11">
        <v>70</v>
      </c>
      <c r="B72" s="41" t="s">
        <v>102</v>
      </c>
      <c r="C72" s="34" t="s">
        <v>96</v>
      </c>
      <c r="D72" s="36"/>
      <c r="E72" s="28"/>
      <c r="F72" s="23"/>
      <c r="G72" s="24"/>
      <c r="H72" s="39"/>
      <c r="I72" s="39"/>
      <c r="J72" s="30">
        <v>8.5</v>
      </c>
      <c r="K72" s="16">
        <f t="shared" si="7"/>
        <v>68</v>
      </c>
      <c r="L72" s="17">
        <v>12</v>
      </c>
      <c r="M72" s="16">
        <f t="shared" si="8"/>
        <v>144</v>
      </c>
      <c r="N72" s="16">
        <f t="shared" si="9"/>
        <v>48</v>
      </c>
      <c r="O72" s="16">
        <f t="shared" si="10"/>
        <v>260</v>
      </c>
      <c r="P72" s="25">
        <v>27.5</v>
      </c>
      <c r="Q72" s="33"/>
      <c r="R72" s="23">
        <v>10</v>
      </c>
      <c r="S72" s="28"/>
      <c r="T72" s="34"/>
      <c r="U72" s="34"/>
    </row>
    <row r="73" spans="1:21" ht="18.75" customHeight="1">
      <c r="A73" s="11">
        <v>71</v>
      </c>
      <c r="B73" s="41" t="s">
        <v>103</v>
      </c>
      <c r="C73" s="34" t="s">
        <v>96</v>
      </c>
      <c r="D73" s="36"/>
      <c r="E73" s="28"/>
      <c r="F73" s="23"/>
      <c r="G73" s="24"/>
      <c r="H73" s="39"/>
      <c r="I73" s="39"/>
      <c r="J73" s="30">
        <v>5.5</v>
      </c>
      <c r="K73" s="16">
        <f t="shared" si="7"/>
        <v>44</v>
      </c>
      <c r="L73" s="17">
        <v>1</v>
      </c>
      <c r="M73" s="16">
        <f t="shared" si="8"/>
        <v>12</v>
      </c>
      <c r="N73" s="16">
        <f t="shared" si="9"/>
        <v>4</v>
      </c>
      <c r="O73" s="16">
        <f t="shared" si="10"/>
        <v>60</v>
      </c>
      <c r="P73" s="25"/>
      <c r="Q73" s="33">
        <v>31</v>
      </c>
      <c r="R73" s="23">
        <v>57</v>
      </c>
      <c r="S73" s="28">
        <v>10</v>
      </c>
      <c r="T73" s="34"/>
      <c r="U73" s="34"/>
    </row>
    <row r="74" spans="1:21" ht="18.75" customHeight="1">
      <c r="A74" s="11">
        <v>72</v>
      </c>
      <c r="B74" s="41" t="s">
        <v>104</v>
      </c>
      <c r="C74" s="34" t="s">
        <v>96</v>
      </c>
      <c r="D74" s="36"/>
      <c r="E74" s="28"/>
      <c r="F74" s="23"/>
      <c r="G74" s="24"/>
      <c r="H74" s="39"/>
      <c r="I74" s="39"/>
      <c r="J74" s="30">
        <v>1</v>
      </c>
      <c r="K74" s="16">
        <f t="shared" si="7"/>
        <v>8</v>
      </c>
      <c r="L74" s="17">
        <v>2</v>
      </c>
      <c r="M74" s="16">
        <f t="shared" si="8"/>
        <v>24</v>
      </c>
      <c r="N74" s="16">
        <f t="shared" si="9"/>
        <v>8</v>
      </c>
      <c r="O74" s="16">
        <f t="shared" si="10"/>
        <v>40</v>
      </c>
      <c r="P74" s="25">
        <v>0.5</v>
      </c>
      <c r="Q74" s="33"/>
      <c r="R74" s="23"/>
      <c r="S74" s="28"/>
      <c r="T74" s="34"/>
      <c r="U74" s="34"/>
    </row>
    <row r="75" spans="1:21" ht="18.75" customHeight="1">
      <c r="A75" s="11">
        <v>73</v>
      </c>
      <c r="B75" s="41" t="s">
        <v>105</v>
      </c>
      <c r="C75" s="34" t="s">
        <v>96</v>
      </c>
      <c r="D75" s="36"/>
      <c r="E75" s="28"/>
      <c r="F75" s="23"/>
      <c r="G75" s="24"/>
      <c r="H75" s="39"/>
      <c r="I75" s="39"/>
      <c r="J75" s="30">
        <v>14</v>
      </c>
      <c r="K75" s="16">
        <f t="shared" ref="K75:K139" si="19">J75*8</f>
        <v>112</v>
      </c>
      <c r="L75" s="17">
        <v>11</v>
      </c>
      <c r="M75" s="16">
        <f t="shared" ref="M75:M139" si="20">L75*12</f>
        <v>132</v>
      </c>
      <c r="N75" s="16">
        <f t="shared" ref="N75:N139" si="21">L75*4</f>
        <v>44</v>
      </c>
      <c r="O75" s="16">
        <f t="shared" ref="O75:O139" si="22">N75+M75+K75</f>
        <v>288</v>
      </c>
      <c r="P75" s="25">
        <v>33</v>
      </c>
      <c r="Q75" s="33"/>
      <c r="R75" s="23">
        <v>20</v>
      </c>
      <c r="S75" s="28"/>
      <c r="T75" s="34"/>
      <c r="U75" s="34"/>
    </row>
    <row r="76" spans="1:21" ht="18.75" customHeight="1">
      <c r="A76" s="11">
        <v>74</v>
      </c>
      <c r="B76" s="41" t="s">
        <v>106</v>
      </c>
      <c r="C76" s="34" t="s">
        <v>96</v>
      </c>
      <c r="D76" s="36"/>
      <c r="E76" s="28"/>
      <c r="F76" s="23"/>
      <c r="G76" s="24">
        <v>6</v>
      </c>
      <c r="H76" s="39"/>
      <c r="I76" s="39" t="s">
        <v>523</v>
      </c>
      <c r="J76" s="30">
        <v>2.5</v>
      </c>
      <c r="K76" s="16">
        <f t="shared" si="19"/>
        <v>20</v>
      </c>
      <c r="L76" s="17">
        <v>6</v>
      </c>
      <c r="M76" s="16">
        <f t="shared" si="20"/>
        <v>72</v>
      </c>
      <c r="N76" s="16">
        <f t="shared" si="21"/>
        <v>24</v>
      </c>
      <c r="O76" s="16">
        <f t="shared" si="22"/>
        <v>116</v>
      </c>
      <c r="P76" s="25"/>
      <c r="Q76" s="33">
        <v>30</v>
      </c>
      <c r="R76" s="23">
        <v>64</v>
      </c>
      <c r="S76" s="28">
        <v>30</v>
      </c>
      <c r="T76" s="34"/>
      <c r="U76" s="34"/>
    </row>
    <row r="77" spans="1:21" ht="18.75" customHeight="1">
      <c r="A77" s="11">
        <v>75</v>
      </c>
      <c r="B77" s="41" t="s">
        <v>107</v>
      </c>
      <c r="C77" s="34" t="s">
        <v>96</v>
      </c>
      <c r="D77" s="36"/>
      <c r="E77" s="28"/>
      <c r="F77" s="23"/>
      <c r="G77" s="24"/>
      <c r="H77" s="39"/>
      <c r="I77" s="39"/>
      <c r="J77" s="30">
        <v>12</v>
      </c>
      <c r="K77" s="16">
        <f t="shared" si="19"/>
        <v>96</v>
      </c>
      <c r="L77" s="17">
        <v>3</v>
      </c>
      <c r="M77" s="16">
        <f t="shared" si="20"/>
        <v>36</v>
      </c>
      <c r="N77" s="16">
        <f t="shared" si="21"/>
        <v>12</v>
      </c>
      <c r="O77" s="16">
        <f t="shared" si="22"/>
        <v>144</v>
      </c>
      <c r="P77" s="25"/>
      <c r="Q77" s="33">
        <v>22</v>
      </c>
      <c r="R77" s="23">
        <v>76</v>
      </c>
      <c r="S77" s="28"/>
      <c r="T77" s="34"/>
      <c r="U77" s="34"/>
    </row>
    <row r="78" spans="1:21" ht="18.75" customHeight="1">
      <c r="A78" s="11">
        <v>76</v>
      </c>
      <c r="B78" s="41" t="s">
        <v>108</v>
      </c>
      <c r="C78" s="34" t="s">
        <v>96</v>
      </c>
      <c r="D78" s="36"/>
      <c r="E78" s="28"/>
      <c r="F78" s="23"/>
      <c r="G78" s="24"/>
      <c r="H78" s="39"/>
      <c r="I78" s="39"/>
      <c r="J78" s="30">
        <v>4.5</v>
      </c>
      <c r="K78" s="16">
        <f t="shared" si="19"/>
        <v>36</v>
      </c>
      <c r="L78" s="17">
        <v>5</v>
      </c>
      <c r="M78" s="16">
        <f t="shared" si="20"/>
        <v>60</v>
      </c>
      <c r="N78" s="16">
        <f t="shared" si="21"/>
        <v>20</v>
      </c>
      <c r="O78" s="16">
        <f t="shared" si="22"/>
        <v>116</v>
      </c>
      <c r="P78" s="25"/>
      <c r="Q78" s="33">
        <v>1</v>
      </c>
      <c r="R78" s="23">
        <v>65.5</v>
      </c>
      <c r="S78" s="28"/>
      <c r="T78" s="34"/>
      <c r="U78" s="34"/>
    </row>
    <row r="79" spans="1:21" ht="18.75" customHeight="1">
      <c r="A79" s="11">
        <v>77</v>
      </c>
      <c r="B79" s="41" t="s">
        <v>109</v>
      </c>
      <c r="C79" s="34" t="s">
        <v>96</v>
      </c>
      <c r="D79" s="36"/>
      <c r="E79" s="28"/>
      <c r="F79" s="39"/>
      <c r="H79" s="39"/>
      <c r="I79" s="39"/>
      <c r="J79" s="30">
        <v>3.5</v>
      </c>
      <c r="K79" s="16">
        <f t="shared" si="19"/>
        <v>28</v>
      </c>
      <c r="L79" s="17">
        <v>1</v>
      </c>
      <c r="M79" s="16">
        <f t="shared" si="20"/>
        <v>12</v>
      </c>
      <c r="N79" s="16">
        <f t="shared" si="21"/>
        <v>4</v>
      </c>
      <c r="O79" s="16">
        <f t="shared" si="22"/>
        <v>44</v>
      </c>
      <c r="P79" s="25"/>
      <c r="Q79" s="33">
        <v>5</v>
      </c>
      <c r="R79" s="23">
        <v>71.5</v>
      </c>
      <c r="S79" s="28"/>
      <c r="T79" s="34"/>
      <c r="U79" s="34"/>
    </row>
    <row r="80" spans="1:21" ht="18.75" customHeight="1">
      <c r="A80" s="11">
        <v>78</v>
      </c>
      <c r="B80" s="41" t="s">
        <v>110</v>
      </c>
      <c r="C80" s="34" t="s">
        <v>96</v>
      </c>
      <c r="D80" s="27"/>
      <c r="E80" s="28"/>
      <c r="F80" s="23"/>
      <c r="G80" s="24"/>
      <c r="H80" s="39"/>
      <c r="I80" s="39"/>
      <c r="J80" s="30">
        <v>5.5</v>
      </c>
      <c r="K80" s="16">
        <f t="shared" si="19"/>
        <v>44</v>
      </c>
      <c r="L80" s="17">
        <v>3</v>
      </c>
      <c r="M80" s="16">
        <f t="shared" si="20"/>
        <v>36</v>
      </c>
      <c r="N80" s="16">
        <f t="shared" si="21"/>
        <v>12</v>
      </c>
      <c r="O80" s="16">
        <f t="shared" si="22"/>
        <v>92</v>
      </c>
      <c r="P80" s="25">
        <v>28.5</v>
      </c>
      <c r="Q80" s="33"/>
      <c r="R80" s="23">
        <v>10</v>
      </c>
      <c r="S80" s="28"/>
      <c r="T80" s="34"/>
      <c r="U80" s="34"/>
    </row>
    <row r="81" spans="1:21" ht="18.75" customHeight="1">
      <c r="A81" s="11">
        <v>79</v>
      </c>
      <c r="B81" s="41" t="s">
        <v>111</v>
      </c>
      <c r="C81" s="34" t="s">
        <v>96</v>
      </c>
      <c r="D81" s="36"/>
      <c r="E81" s="28"/>
      <c r="F81" s="23"/>
      <c r="G81" s="24"/>
      <c r="H81" s="39"/>
      <c r="I81" s="39"/>
      <c r="J81" s="30">
        <v>8</v>
      </c>
      <c r="K81" s="16">
        <f t="shared" si="19"/>
        <v>64</v>
      </c>
      <c r="L81" s="17">
        <v>12</v>
      </c>
      <c r="M81" s="16">
        <f t="shared" si="20"/>
        <v>144</v>
      </c>
      <c r="N81" s="16">
        <f t="shared" si="21"/>
        <v>48</v>
      </c>
      <c r="O81" s="16">
        <f t="shared" si="22"/>
        <v>256</v>
      </c>
      <c r="P81" s="25"/>
      <c r="Q81" s="33">
        <v>28</v>
      </c>
      <c r="R81" s="23">
        <v>56</v>
      </c>
      <c r="S81" s="28">
        <v>40</v>
      </c>
      <c r="T81" s="34"/>
      <c r="U81" s="34"/>
    </row>
    <row r="82" spans="1:21" ht="18.75" customHeight="1">
      <c r="A82" s="11">
        <v>80</v>
      </c>
      <c r="B82" s="41" t="s">
        <v>112</v>
      </c>
      <c r="C82" s="34" t="s">
        <v>96</v>
      </c>
      <c r="D82" s="36"/>
      <c r="E82" s="28"/>
      <c r="F82" s="39"/>
      <c r="H82" s="39"/>
      <c r="I82" s="39"/>
      <c r="J82" s="30">
        <v>4.5</v>
      </c>
      <c r="K82" s="16">
        <f t="shared" si="19"/>
        <v>36</v>
      </c>
      <c r="L82" s="17">
        <v>3</v>
      </c>
      <c r="M82" s="16">
        <f t="shared" si="20"/>
        <v>36</v>
      </c>
      <c r="N82" s="16">
        <f t="shared" si="21"/>
        <v>12</v>
      </c>
      <c r="O82" s="16">
        <f t="shared" si="22"/>
        <v>84</v>
      </c>
      <c r="P82" s="25"/>
      <c r="Q82" s="33">
        <v>27</v>
      </c>
      <c r="R82" s="23">
        <v>60</v>
      </c>
      <c r="S82" s="28">
        <v>40</v>
      </c>
      <c r="T82" s="34"/>
      <c r="U82" s="34"/>
    </row>
    <row r="83" spans="1:21" ht="18.75" customHeight="1">
      <c r="A83" s="11">
        <v>81</v>
      </c>
      <c r="B83" s="41" t="s">
        <v>113</v>
      </c>
      <c r="C83" s="34" t="s">
        <v>96</v>
      </c>
      <c r="D83" s="27"/>
      <c r="E83" s="28"/>
      <c r="F83" s="23"/>
      <c r="G83" s="24"/>
      <c r="H83" s="39"/>
      <c r="I83" s="39"/>
      <c r="J83" s="30"/>
      <c r="K83" s="16"/>
      <c r="L83" s="17"/>
      <c r="M83" s="16"/>
      <c r="N83" s="16"/>
      <c r="O83" s="16"/>
      <c r="P83" s="25"/>
      <c r="Q83" s="33"/>
      <c r="R83" s="23"/>
      <c r="S83" s="28"/>
      <c r="T83" s="34"/>
      <c r="U83" s="34"/>
    </row>
    <row r="84" spans="1:21" ht="18.75" customHeight="1">
      <c r="A84" s="11">
        <v>82</v>
      </c>
      <c r="B84" s="41" t="s">
        <v>114</v>
      </c>
      <c r="C84" s="34" t="s">
        <v>96</v>
      </c>
      <c r="D84" s="36"/>
      <c r="E84" s="28"/>
      <c r="F84" s="23"/>
      <c r="G84" s="24"/>
      <c r="H84" s="39"/>
      <c r="I84" s="39"/>
      <c r="J84" s="30">
        <v>11</v>
      </c>
      <c r="K84" s="16">
        <f t="shared" si="19"/>
        <v>88</v>
      </c>
      <c r="L84" s="17">
        <v>16</v>
      </c>
      <c r="M84" s="16">
        <f t="shared" si="20"/>
        <v>192</v>
      </c>
      <c r="N84" s="16">
        <f t="shared" si="21"/>
        <v>64</v>
      </c>
      <c r="O84" s="16">
        <f t="shared" si="22"/>
        <v>344</v>
      </c>
      <c r="P84" s="25"/>
      <c r="Q84" s="33">
        <v>30</v>
      </c>
      <c r="R84" s="23">
        <v>76</v>
      </c>
      <c r="S84" s="28">
        <v>20</v>
      </c>
      <c r="T84" s="34"/>
      <c r="U84" s="34"/>
    </row>
    <row r="85" spans="1:21" ht="18.75" customHeight="1">
      <c r="A85" s="11">
        <v>83</v>
      </c>
      <c r="B85" s="41" t="s">
        <v>115</v>
      </c>
      <c r="C85" s="34" t="s">
        <v>96</v>
      </c>
      <c r="D85" s="36"/>
      <c r="E85" s="28"/>
      <c r="F85" s="23"/>
      <c r="G85" s="24"/>
      <c r="H85" s="39"/>
      <c r="I85" s="39"/>
      <c r="J85" s="30">
        <v>8.5</v>
      </c>
      <c r="K85" s="16">
        <f t="shared" si="19"/>
        <v>68</v>
      </c>
      <c r="L85" s="17">
        <v>17</v>
      </c>
      <c r="M85" s="16">
        <f t="shared" si="20"/>
        <v>204</v>
      </c>
      <c r="N85" s="16">
        <f t="shared" si="21"/>
        <v>68</v>
      </c>
      <c r="O85" s="16">
        <f t="shared" si="22"/>
        <v>340</v>
      </c>
      <c r="P85" s="25"/>
      <c r="Q85" s="33">
        <v>34</v>
      </c>
      <c r="R85" s="23">
        <v>74.5</v>
      </c>
      <c r="S85" s="28">
        <v>20</v>
      </c>
      <c r="T85" s="34"/>
      <c r="U85" s="34"/>
    </row>
    <row r="86" spans="1:21" ht="18.75" customHeight="1">
      <c r="A86" s="11">
        <v>84</v>
      </c>
      <c r="B86" s="41" t="s">
        <v>116</v>
      </c>
      <c r="C86" s="34" t="s">
        <v>96</v>
      </c>
      <c r="D86" s="36"/>
      <c r="E86" s="28"/>
      <c r="F86" s="23"/>
      <c r="G86" s="24"/>
      <c r="H86" s="39"/>
      <c r="I86" s="39"/>
      <c r="J86" s="30">
        <v>6</v>
      </c>
      <c r="K86" s="16">
        <f t="shared" si="19"/>
        <v>48</v>
      </c>
      <c r="L86" s="17"/>
      <c r="M86" s="16"/>
      <c r="N86" s="16"/>
      <c r="O86" s="16">
        <f t="shared" si="22"/>
        <v>48</v>
      </c>
      <c r="P86" s="25"/>
      <c r="Q86" s="33">
        <v>27</v>
      </c>
      <c r="R86" s="23">
        <v>61.5</v>
      </c>
      <c r="S86" s="28">
        <v>40</v>
      </c>
      <c r="T86" s="34"/>
      <c r="U86" s="34"/>
    </row>
    <row r="87" spans="1:21" ht="18.75" customHeight="1">
      <c r="A87" s="11">
        <v>85</v>
      </c>
      <c r="B87" s="41" t="s">
        <v>117</v>
      </c>
      <c r="C87" s="34" t="s">
        <v>96</v>
      </c>
      <c r="D87" s="36" t="s">
        <v>525</v>
      </c>
      <c r="E87" s="28"/>
      <c r="F87" s="23"/>
      <c r="G87" s="24"/>
      <c r="H87" s="39"/>
      <c r="I87" s="39"/>
      <c r="J87" s="30"/>
      <c r="K87" s="16"/>
      <c r="L87" s="17"/>
      <c r="M87" s="16"/>
      <c r="N87" s="16"/>
      <c r="O87" s="16"/>
      <c r="P87" s="25"/>
      <c r="Q87" s="33"/>
      <c r="R87" s="23"/>
      <c r="S87" s="28"/>
      <c r="T87" s="34"/>
      <c r="U87" s="34"/>
    </row>
    <row r="88" spans="1:21" ht="18.75" customHeight="1">
      <c r="A88" s="11">
        <v>86</v>
      </c>
      <c r="B88" s="41" t="s">
        <v>118</v>
      </c>
      <c r="C88" s="34" t="s">
        <v>96</v>
      </c>
      <c r="D88" s="36"/>
      <c r="E88" s="28"/>
      <c r="F88" s="23"/>
      <c r="G88" s="24"/>
      <c r="H88" s="39"/>
      <c r="I88" s="39"/>
      <c r="J88" s="30">
        <v>7.5</v>
      </c>
      <c r="K88" s="16">
        <f t="shared" si="19"/>
        <v>60</v>
      </c>
      <c r="L88" s="17">
        <v>13</v>
      </c>
      <c r="M88" s="16">
        <f t="shared" si="20"/>
        <v>156</v>
      </c>
      <c r="N88" s="16">
        <f t="shared" si="21"/>
        <v>52</v>
      </c>
      <c r="O88" s="16">
        <f t="shared" si="22"/>
        <v>268</v>
      </c>
      <c r="P88" s="25"/>
      <c r="Q88" s="33">
        <v>28</v>
      </c>
      <c r="R88" s="23">
        <v>64</v>
      </c>
      <c r="S88" s="28">
        <v>40</v>
      </c>
      <c r="T88" s="34"/>
      <c r="U88" s="34"/>
    </row>
    <row r="89" spans="1:21" ht="18.75" customHeight="1">
      <c r="A89" s="11">
        <v>87</v>
      </c>
      <c r="B89" s="41" t="s">
        <v>119</v>
      </c>
      <c r="C89" s="34" t="s">
        <v>96</v>
      </c>
      <c r="D89" s="36"/>
      <c r="E89" s="28"/>
      <c r="F89" s="23"/>
      <c r="G89" s="24"/>
      <c r="H89" s="39"/>
      <c r="I89" s="39"/>
      <c r="J89" s="30">
        <v>5</v>
      </c>
      <c r="K89" s="16">
        <f t="shared" si="19"/>
        <v>40</v>
      </c>
      <c r="L89" s="17">
        <v>5</v>
      </c>
      <c r="M89" s="16">
        <f t="shared" si="20"/>
        <v>60</v>
      </c>
      <c r="N89" s="16">
        <f t="shared" si="21"/>
        <v>20</v>
      </c>
      <c r="O89" s="16">
        <f t="shared" si="22"/>
        <v>120</v>
      </c>
      <c r="P89" s="25"/>
      <c r="Q89" s="33">
        <v>28</v>
      </c>
      <c r="R89" s="23">
        <v>69</v>
      </c>
      <c r="S89" s="28">
        <v>30</v>
      </c>
      <c r="T89" s="34"/>
      <c r="U89" s="34"/>
    </row>
    <row r="90" spans="1:21" ht="18.75" customHeight="1">
      <c r="A90" s="11">
        <v>88</v>
      </c>
      <c r="B90" s="41" t="s">
        <v>120</v>
      </c>
      <c r="C90" s="34" t="s">
        <v>96</v>
      </c>
      <c r="D90" s="27"/>
      <c r="E90" s="28"/>
      <c r="F90" s="23"/>
      <c r="G90" s="24"/>
      <c r="H90" s="39"/>
      <c r="I90" s="39"/>
      <c r="J90" s="30">
        <v>9.5</v>
      </c>
      <c r="K90" s="16">
        <f t="shared" si="19"/>
        <v>76</v>
      </c>
      <c r="L90" s="17">
        <v>5</v>
      </c>
      <c r="M90" s="16">
        <f t="shared" si="20"/>
        <v>60</v>
      </c>
      <c r="N90" s="16">
        <f t="shared" si="21"/>
        <v>20</v>
      </c>
      <c r="O90" s="16">
        <f t="shared" si="22"/>
        <v>156</v>
      </c>
      <c r="P90" s="25">
        <v>35</v>
      </c>
      <c r="Q90" s="33"/>
      <c r="R90" s="23"/>
      <c r="S90" s="28"/>
      <c r="T90" s="34"/>
      <c r="U90" s="34"/>
    </row>
    <row r="91" spans="1:21" ht="18.75" customHeight="1">
      <c r="A91" s="11">
        <v>89</v>
      </c>
      <c r="B91" s="41" t="s">
        <v>121</v>
      </c>
      <c r="C91" s="34" t="s">
        <v>96</v>
      </c>
      <c r="D91" s="36"/>
      <c r="E91" s="28"/>
      <c r="F91" s="23"/>
      <c r="G91" s="24"/>
      <c r="H91" s="39"/>
      <c r="I91" s="39"/>
      <c r="J91" s="30">
        <v>1</v>
      </c>
      <c r="K91" s="16">
        <f t="shared" si="19"/>
        <v>8</v>
      </c>
      <c r="L91" s="17">
        <v>2</v>
      </c>
      <c r="M91" s="16">
        <f t="shared" si="20"/>
        <v>24</v>
      </c>
      <c r="N91" s="16">
        <f t="shared" si="21"/>
        <v>8</v>
      </c>
      <c r="O91" s="16">
        <f t="shared" si="22"/>
        <v>40</v>
      </c>
      <c r="P91" s="25"/>
      <c r="Q91" s="33">
        <v>5</v>
      </c>
      <c r="R91" s="23">
        <v>72</v>
      </c>
      <c r="S91" s="28"/>
      <c r="T91" s="34"/>
      <c r="U91" s="34"/>
    </row>
    <row r="92" spans="1:21" ht="18.75" customHeight="1">
      <c r="A92" s="11">
        <v>90</v>
      </c>
      <c r="B92" s="41" t="s">
        <v>122</v>
      </c>
      <c r="C92" s="34" t="s">
        <v>96</v>
      </c>
      <c r="D92" s="36"/>
      <c r="E92" s="28"/>
      <c r="F92" s="23"/>
      <c r="G92" s="24">
        <v>6</v>
      </c>
      <c r="H92" s="39"/>
      <c r="I92" s="39"/>
      <c r="J92" s="30">
        <v>2.5</v>
      </c>
      <c r="K92" s="16">
        <f t="shared" si="19"/>
        <v>20</v>
      </c>
      <c r="L92" s="17">
        <v>6</v>
      </c>
      <c r="M92" s="16">
        <f t="shared" si="20"/>
        <v>72</v>
      </c>
      <c r="N92" s="16">
        <f t="shared" si="21"/>
        <v>24</v>
      </c>
      <c r="O92" s="16">
        <f t="shared" si="22"/>
        <v>116</v>
      </c>
      <c r="P92" s="25"/>
      <c r="Q92" s="33">
        <v>28</v>
      </c>
      <c r="R92" s="23">
        <v>65</v>
      </c>
      <c r="S92" s="28">
        <v>30</v>
      </c>
      <c r="T92" s="34"/>
      <c r="U92" s="34"/>
    </row>
    <row r="93" spans="1:21" ht="18.75" customHeight="1">
      <c r="A93" s="11">
        <v>91</v>
      </c>
      <c r="B93" s="41" t="s">
        <v>123</v>
      </c>
      <c r="C93" s="34" t="s">
        <v>96</v>
      </c>
      <c r="D93" s="36"/>
      <c r="E93" s="28"/>
      <c r="F93" s="23"/>
      <c r="G93" s="24"/>
      <c r="H93" s="39"/>
      <c r="I93" s="39"/>
      <c r="J93" s="30">
        <v>9.5</v>
      </c>
      <c r="K93" s="16">
        <f t="shared" si="19"/>
        <v>76</v>
      </c>
      <c r="L93" s="17">
        <v>13</v>
      </c>
      <c r="M93" s="16">
        <f t="shared" si="20"/>
        <v>156</v>
      </c>
      <c r="N93" s="16">
        <f t="shared" si="21"/>
        <v>52</v>
      </c>
      <c r="O93" s="16">
        <f t="shared" si="22"/>
        <v>284</v>
      </c>
      <c r="P93" s="25"/>
      <c r="Q93" s="33">
        <v>20</v>
      </c>
      <c r="R93" s="23">
        <v>72</v>
      </c>
      <c r="S93" s="28"/>
      <c r="T93" s="34"/>
      <c r="U93" s="34"/>
    </row>
    <row r="94" spans="1:21" ht="18.75" customHeight="1">
      <c r="A94" s="11">
        <v>92</v>
      </c>
      <c r="B94" s="41" t="s">
        <v>124</v>
      </c>
      <c r="C94" s="34" t="s">
        <v>96</v>
      </c>
      <c r="D94" s="36"/>
      <c r="E94" s="28"/>
      <c r="F94" s="23"/>
      <c r="G94" s="24"/>
      <c r="H94" s="39"/>
      <c r="I94" s="39"/>
      <c r="J94" s="30">
        <v>6</v>
      </c>
      <c r="K94" s="16">
        <f t="shared" si="19"/>
        <v>48</v>
      </c>
      <c r="L94" s="17"/>
      <c r="M94" s="16"/>
      <c r="N94" s="16"/>
      <c r="O94" s="16">
        <f t="shared" si="22"/>
        <v>48</v>
      </c>
      <c r="P94" s="25"/>
      <c r="Q94" s="33"/>
      <c r="R94" s="23"/>
      <c r="S94" s="28"/>
      <c r="T94" s="34"/>
      <c r="U94" s="34"/>
    </row>
    <row r="95" spans="1:21" ht="18.75" customHeight="1">
      <c r="A95" s="11">
        <v>93</v>
      </c>
      <c r="B95" s="41" t="s">
        <v>125</v>
      </c>
      <c r="C95" s="34" t="s">
        <v>96</v>
      </c>
      <c r="D95" s="36"/>
      <c r="E95" s="28"/>
      <c r="F95" s="23"/>
      <c r="G95" s="24"/>
      <c r="H95" s="39"/>
      <c r="I95" s="39"/>
      <c r="J95" s="30">
        <v>7</v>
      </c>
      <c r="K95" s="16">
        <f t="shared" si="19"/>
        <v>56</v>
      </c>
      <c r="L95" s="17">
        <v>3</v>
      </c>
      <c r="M95" s="16">
        <f t="shared" si="20"/>
        <v>36</v>
      </c>
      <c r="N95" s="16">
        <f t="shared" si="21"/>
        <v>12</v>
      </c>
      <c r="O95" s="16">
        <f t="shared" si="22"/>
        <v>104</v>
      </c>
      <c r="P95" s="25"/>
      <c r="Q95" s="33">
        <v>7</v>
      </c>
      <c r="R95" s="23">
        <v>73</v>
      </c>
      <c r="S95" s="28"/>
      <c r="T95" s="34"/>
      <c r="U95" s="34"/>
    </row>
    <row r="96" spans="1:21" ht="18.75" customHeight="1">
      <c r="A96" s="11">
        <v>94</v>
      </c>
      <c r="B96" s="41" t="s">
        <v>126</v>
      </c>
      <c r="C96" s="34" t="s">
        <v>96</v>
      </c>
      <c r="D96" s="36"/>
      <c r="E96" s="28"/>
      <c r="F96" s="23"/>
      <c r="G96" s="24">
        <v>6</v>
      </c>
      <c r="H96" s="39"/>
      <c r="I96" s="39"/>
      <c r="J96" s="30">
        <v>4.5</v>
      </c>
      <c r="K96" s="16">
        <f t="shared" si="19"/>
        <v>36</v>
      </c>
      <c r="L96" s="17">
        <v>6</v>
      </c>
      <c r="M96" s="16">
        <f t="shared" si="20"/>
        <v>72</v>
      </c>
      <c r="N96" s="16">
        <f t="shared" si="21"/>
        <v>24</v>
      </c>
      <c r="O96" s="16">
        <f t="shared" si="22"/>
        <v>132</v>
      </c>
      <c r="P96" s="25"/>
      <c r="Q96" s="33">
        <v>27</v>
      </c>
      <c r="R96" s="23">
        <v>52</v>
      </c>
      <c r="S96" s="28">
        <v>40</v>
      </c>
      <c r="T96" s="34"/>
      <c r="U96" s="34"/>
    </row>
    <row r="97" spans="1:21" ht="18.75" customHeight="1">
      <c r="A97" s="11">
        <v>95</v>
      </c>
      <c r="B97" s="41" t="s">
        <v>127</v>
      </c>
      <c r="C97" s="34" t="s">
        <v>96</v>
      </c>
      <c r="D97" s="36"/>
      <c r="E97" s="28"/>
      <c r="F97" s="39"/>
      <c r="H97" s="39"/>
      <c r="I97" s="39"/>
      <c r="J97" s="30">
        <v>9</v>
      </c>
      <c r="K97" s="16">
        <f t="shared" si="19"/>
        <v>72</v>
      </c>
      <c r="L97" s="17"/>
      <c r="M97" s="16"/>
      <c r="N97" s="16"/>
      <c r="O97" s="16">
        <f t="shared" si="22"/>
        <v>72</v>
      </c>
      <c r="P97" s="25"/>
      <c r="Q97" s="33">
        <v>32</v>
      </c>
      <c r="R97" s="23">
        <v>54.5</v>
      </c>
      <c r="S97" s="28">
        <v>20</v>
      </c>
      <c r="T97" s="34"/>
      <c r="U97" s="34"/>
    </row>
    <row r="98" spans="1:21" ht="18.75" customHeight="1">
      <c r="A98" s="11">
        <v>96</v>
      </c>
      <c r="B98" s="41" t="s">
        <v>128</v>
      </c>
      <c r="C98" s="34" t="s">
        <v>96</v>
      </c>
      <c r="D98" s="36"/>
      <c r="E98" s="28"/>
      <c r="F98" s="23"/>
      <c r="G98" s="24"/>
      <c r="H98" s="39"/>
      <c r="I98" s="39"/>
      <c r="J98" s="30">
        <v>2.5</v>
      </c>
      <c r="K98" s="16">
        <f t="shared" si="19"/>
        <v>20</v>
      </c>
      <c r="L98" s="17">
        <v>5</v>
      </c>
      <c r="M98" s="16">
        <f t="shared" si="20"/>
        <v>60</v>
      </c>
      <c r="N98" s="16">
        <f t="shared" si="21"/>
        <v>20</v>
      </c>
      <c r="O98" s="16">
        <f t="shared" si="22"/>
        <v>100</v>
      </c>
      <c r="P98" s="25"/>
      <c r="Q98" s="33">
        <v>29</v>
      </c>
      <c r="R98" s="23">
        <v>68</v>
      </c>
      <c r="S98" s="28">
        <v>30</v>
      </c>
      <c r="T98" s="34"/>
      <c r="U98" s="34"/>
    </row>
    <row r="99" spans="1:21" ht="18.75" customHeight="1">
      <c r="A99" s="11">
        <v>97</v>
      </c>
      <c r="B99" s="19" t="s">
        <v>129</v>
      </c>
      <c r="C99" s="34" t="s">
        <v>96</v>
      </c>
      <c r="D99" s="36"/>
      <c r="E99" s="28"/>
      <c r="F99" s="23"/>
      <c r="G99" s="24"/>
      <c r="H99" s="39"/>
      <c r="I99" s="39"/>
      <c r="J99" s="30">
        <v>3</v>
      </c>
      <c r="K99" s="16">
        <f t="shared" si="19"/>
        <v>24</v>
      </c>
      <c r="L99" s="17"/>
      <c r="M99" s="16"/>
      <c r="N99" s="16"/>
      <c r="O99" s="16">
        <f t="shared" si="22"/>
        <v>24</v>
      </c>
      <c r="P99" s="25">
        <v>29</v>
      </c>
      <c r="Q99" s="33"/>
      <c r="R99" s="23">
        <v>30</v>
      </c>
      <c r="S99" s="28"/>
      <c r="T99" s="34"/>
      <c r="U99" s="34"/>
    </row>
    <row r="100" spans="1:21" ht="18.75" customHeight="1">
      <c r="A100" s="11">
        <v>98</v>
      </c>
      <c r="B100" s="19" t="s">
        <v>131</v>
      </c>
      <c r="C100" s="34" t="s">
        <v>96</v>
      </c>
      <c r="D100" s="36"/>
      <c r="E100" s="28"/>
      <c r="F100" s="23"/>
      <c r="G100" s="24"/>
      <c r="H100" s="39"/>
      <c r="I100" s="39"/>
      <c r="J100" s="30"/>
      <c r="K100" s="16"/>
      <c r="L100" s="17"/>
      <c r="M100" s="16"/>
      <c r="N100" s="16"/>
      <c r="O100" s="16"/>
      <c r="P100" s="25">
        <v>20</v>
      </c>
      <c r="Q100" s="33"/>
      <c r="R100" s="23"/>
      <c r="S100" s="28"/>
      <c r="T100" s="34"/>
      <c r="U100" s="34"/>
    </row>
    <row r="101" spans="1:21" ht="18.75" customHeight="1">
      <c r="A101" s="11">
        <v>99</v>
      </c>
      <c r="B101" s="41" t="s">
        <v>132</v>
      </c>
      <c r="C101" s="34" t="s">
        <v>96</v>
      </c>
      <c r="D101" s="36"/>
      <c r="E101" s="28"/>
      <c r="F101" s="23"/>
      <c r="G101" s="24"/>
      <c r="H101" s="39"/>
      <c r="I101" s="39"/>
      <c r="J101" s="30">
        <v>9</v>
      </c>
      <c r="K101" s="16">
        <f t="shared" si="19"/>
        <v>72</v>
      </c>
      <c r="L101" s="17">
        <v>3</v>
      </c>
      <c r="M101" s="16">
        <f t="shared" si="20"/>
        <v>36</v>
      </c>
      <c r="N101" s="16">
        <f t="shared" si="21"/>
        <v>12</v>
      </c>
      <c r="O101" s="16">
        <f t="shared" si="22"/>
        <v>120</v>
      </c>
      <c r="P101" s="25"/>
      <c r="Q101" s="33">
        <v>27</v>
      </c>
      <c r="R101" s="23">
        <v>68.5</v>
      </c>
      <c r="S101" s="28">
        <v>30</v>
      </c>
      <c r="T101" s="34"/>
      <c r="U101" s="34"/>
    </row>
    <row r="102" spans="1:21" ht="18.75" customHeight="1">
      <c r="A102" s="11">
        <v>100</v>
      </c>
      <c r="B102" s="19" t="s">
        <v>134</v>
      </c>
      <c r="C102" s="34" t="s">
        <v>96</v>
      </c>
      <c r="D102" s="21"/>
      <c r="E102" s="28"/>
      <c r="F102" s="23"/>
      <c r="G102" s="24"/>
      <c r="H102" s="39"/>
      <c r="I102" s="39"/>
      <c r="J102" s="30"/>
      <c r="K102" s="16"/>
      <c r="L102" s="17"/>
      <c r="M102" s="16"/>
      <c r="N102" s="16"/>
      <c r="O102" s="16"/>
      <c r="P102" s="25">
        <v>31</v>
      </c>
      <c r="Q102" s="33"/>
      <c r="R102" s="23">
        <v>10</v>
      </c>
      <c r="S102" s="28"/>
      <c r="T102" s="34"/>
      <c r="U102" s="34"/>
    </row>
    <row r="103" spans="1:21" s="1" customFormat="1" ht="18.75" customHeight="1">
      <c r="A103" s="11">
        <v>101</v>
      </c>
      <c r="B103" s="42" t="s">
        <v>135</v>
      </c>
      <c r="C103" s="34" t="s">
        <v>96</v>
      </c>
      <c r="D103" s="21"/>
      <c r="E103" s="28"/>
      <c r="F103" s="23"/>
      <c r="G103" s="24"/>
      <c r="H103" s="39"/>
      <c r="I103" s="39"/>
      <c r="J103" s="30">
        <v>10</v>
      </c>
      <c r="K103" s="16">
        <f t="shared" si="19"/>
        <v>80</v>
      </c>
      <c r="L103" s="17">
        <v>13</v>
      </c>
      <c r="M103" s="16">
        <f t="shared" si="20"/>
        <v>156</v>
      </c>
      <c r="N103" s="16">
        <f t="shared" si="21"/>
        <v>52</v>
      </c>
      <c r="O103" s="16">
        <f t="shared" si="22"/>
        <v>288</v>
      </c>
      <c r="P103" s="25"/>
      <c r="Q103" s="33">
        <v>31</v>
      </c>
      <c r="R103" s="23">
        <v>40</v>
      </c>
      <c r="S103" s="28">
        <v>50</v>
      </c>
      <c r="T103" s="34"/>
      <c r="U103" s="34"/>
    </row>
    <row r="104" spans="1:21" ht="18.75" customHeight="1">
      <c r="A104" s="11">
        <v>102</v>
      </c>
      <c r="B104" s="19" t="s">
        <v>136</v>
      </c>
      <c r="C104" s="34" t="s">
        <v>96</v>
      </c>
      <c r="D104" s="21"/>
      <c r="E104" s="28"/>
      <c r="F104" s="23"/>
      <c r="G104" s="24"/>
      <c r="H104" s="39"/>
      <c r="I104" s="39"/>
      <c r="J104" s="30"/>
      <c r="K104" s="16"/>
      <c r="L104" s="17"/>
      <c r="M104" s="16"/>
      <c r="N104" s="16"/>
      <c r="O104" s="16"/>
      <c r="P104" s="25"/>
      <c r="Q104" s="33">
        <v>8</v>
      </c>
      <c r="R104" s="23">
        <v>64</v>
      </c>
      <c r="S104" s="28"/>
      <c r="T104" s="34"/>
      <c r="U104" s="34"/>
    </row>
    <row r="105" spans="1:21" s="1" customFormat="1" ht="18.75" customHeight="1">
      <c r="A105" s="11">
        <v>103</v>
      </c>
      <c r="B105" s="42" t="s">
        <v>137</v>
      </c>
      <c r="C105" s="34" t="s">
        <v>96</v>
      </c>
      <c r="D105" s="21"/>
      <c r="E105" s="28"/>
      <c r="F105" s="23"/>
      <c r="G105" s="24">
        <v>8</v>
      </c>
      <c r="H105" s="39"/>
      <c r="I105" s="39"/>
      <c r="J105" s="30">
        <v>6</v>
      </c>
      <c r="K105" s="16">
        <f t="shared" si="19"/>
        <v>48</v>
      </c>
      <c r="L105" s="17">
        <v>7</v>
      </c>
      <c r="M105" s="16">
        <f t="shared" si="20"/>
        <v>84</v>
      </c>
      <c r="N105" s="16">
        <f t="shared" si="21"/>
        <v>28</v>
      </c>
      <c r="O105" s="16">
        <f t="shared" si="22"/>
        <v>160</v>
      </c>
      <c r="P105" s="25">
        <v>28</v>
      </c>
      <c r="Q105" s="33"/>
      <c r="R105" s="23">
        <v>40</v>
      </c>
      <c r="S105" s="28"/>
      <c r="T105" s="34"/>
      <c r="U105" s="34"/>
    </row>
    <row r="106" spans="1:21" s="1" customFormat="1" ht="18.75" customHeight="1">
      <c r="A106" s="11">
        <v>104</v>
      </c>
      <c r="B106" s="42" t="s">
        <v>138</v>
      </c>
      <c r="C106" s="34" t="s">
        <v>96</v>
      </c>
      <c r="D106" s="43"/>
      <c r="E106" s="28"/>
      <c r="F106" s="23"/>
      <c r="G106" s="24"/>
      <c r="H106" s="39"/>
      <c r="I106" s="39"/>
      <c r="J106" s="30">
        <v>9</v>
      </c>
      <c r="K106" s="16">
        <f t="shared" si="19"/>
        <v>72</v>
      </c>
      <c r="L106" s="17">
        <v>13</v>
      </c>
      <c r="M106" s="16">
        <f t="shared" si="20"/>
        <v>156</v>
      </c>
      <c r="N106" s="16">
        <f t="shared" si="21"/>
        <v>52</v>
      </c>
      <c r="O106" s="16">
        <f t="shared" si="22"/>
        <v>280</v>
      </c>
      <c r="P106" s="25"/>
      <c r="Q106" s="33">
        <v>36.5</v>
      </c>
      <c r="R106" s="23">
        <v>60</v>
      </c>
      <c r="S106" s="28"/>
      <c r="T106" s="34"/>
      <c r="U106" s="47"/>
    </row>
    <row r="107" spans="1:21" s="1" customFormat="1" ht="18.75" customHeight="1">
      <c r="A107" s="11">
        <v>105</v>
      </c>
      <c r="B107" s="42" t="s">
        <v>140</v>
      </c>
      <c r="C107" s="34" t="s">
        <v>96</v>
      </c>
      <c r="D107" s="43"/>
      <c r="E107" s="28"/>
      <c r="F107" s="23"/>
      <c r="G107" s="24"/>
      <c r="H107" s="39"/>
      <c r="I107" s="39"/>
      <c r="J107" s="30">
        <v>6</v>
      </c>
      <c r="K107" s="16">
        <f t="shared" si="19"/>
        <v>48</v>
      </c>
      <c r="L107" s="17">
        <v>12</v>
      </c>
      <c r="M107" s="16">
        <f t="shared" si="20"/>
        <v>144</v>
      </c>
      <c r="N107" s="16">
        <f t="shared" si="21"/>
        <v>48</v>
      </c>
      <c r="O107" s="16">
        <f t="shared" si="22"/>
        <v>240</v>
      </c>
      <c r="P107" s="25"/>
      <c r="Q107" s="33">
        <v>34</v>
      </c>
      <c r="R107" s="23">
        <v>76</v>
      </c>
      <c r="S107" s="28">
        <v>10</v>
      </c>
      <c r="T107" s="34"/>
      <c r="U107" s="34"/>
    </row>
    <row r="108" spans="1:21" s="1" customFormat="1" ht="18.75" customHeight="1">
      <c r="A108" s="11">
        <v>106</v>
      </c>
      <c r="B108" s="42" t="s">
        <v>144</v>
      </c>
      <c r="C108" s="34" t="s">
        <v>96</v>
      </c>
      <c r="D108" s="43"/>
      <c r="E108" s="28"/>
      <c r="F108" s="23"/>
      <c r="G108" s="24"/>
      <c r="H108" s="39"/>
      <c r="I108" s="39"/>
      <c r="J108" s="30">
        <v>3</v>
      </c>
      <c r="K108" s="16">
        <f t="shared" si="19"/>
        <v>24</v>
      </c>
      <c r="L108" s="17"/>
      <c r="M108" s="16"/>
      <c r="N108" s="16"/>
      <c r="O108" s="16">
        <f t="shared" si="22"/>
        <v>24</v>
      </c>
      <c r="P108" s="25">
        <v>35</v>
      </c>
      <c r="Q108" s="33"/>
      <c r="R108" s="23">
        <v>30</v>
      </c>
      <c r="S108" s="28"/>
      <c r="T108" s="34"/>
      <c r="U108" s="34"/>
    </row>
    <row r="109" spans="1:21" s="1" customFormat="1" ht="18.75" customHeight="1">
      <c r="A109" s="11">
        <v>107</v>
      </c>
      <c r="B109" s="42" t="s">
        <v>145</v>
      </c>
      <c r="C109" s="34" t="s">
        <v>96</v>
      </c>
      <c r="D109" s="43"/>
      <c r="E109" s="28"/>
      <c r="F109" s="23"/>
      <c r="G109" s="24"/>
      <c r="H109" s="39"/>
      <c r="I109" s="39"/>
      <c r="J109" s="30">
        <v>5.5</v>
      </c>
      <c r="K109" s="16">
        <f t="shared" si="19"/>
        <v>44</v>
      </c>
      <c r="L109" s="17">
        <v>3</v>
      </c>
      <c r="M109" s="16">
        <f t="shared" si="20"/>
        <v>36</v>
      </c>
      <c r="N109" s="16">
        <f t="shared" si="21"/>
        <v>12</v>
      </c>
      <c r="O109" s="16">
        <f t="shared" si="22"/>
        <v>92</v>
      </c>
      <c r="P109" s="25"/>
      <c r="Q109" s="33">
        <v>34</v>
      </c>
      <c r="R109" s="23">
        <v>65</v>
      </c>
      <c r="S109" s="28">
        <v>40</v>
      </c>
      <c r="T109" s="34"/>
      <c r="U109" s="34"/>
    </row>
    <row r="110" spans="1:21" s="1" customFormat="1" ht="18.75" customHeight="1">
      <c r="A110" s="11">
        <v>108</v>
      </c>
      <c r="B110" s="42" t="s">
        <v>146</v>
      </c>
      <c r="C110" s="34" t="s">
        <v>96</v>
      </c>
      <c r="D110" s="43"/>
      <c r="E110" s="28"/>
      <c r="F110" s="23"/>
      <c r="G110" s="24"/>
      <c r="H110" s="39"/>
      <c r="I110" s="39"/>
      <c r="J110" s="30">
        <v>5.5</v>
      </c>
      <c r="K110" s="16">
        <f t="shared" si="19"/>
        <v>44</v>
      </c>
      <c r="L110" s="17">
        <v>11</v>
      </c>
      <c r="M110" s="16">
        <f t="shared" si="20"/>
        <v>132</v>
      </c>
      <c r="N110" s="16">
        <f t="shared" si="21"/>
        <v>44</v>
      </c>
      <c r="O110" s="16">
        <f t="shared" si="22"/>
        <v>220</v>
      </c>
      <c r="P110" s="25">
        <v>34.5</v>
      </c>
      <c r="Q110" s="33"/>
      <c r="R110" s="23">
        <v>10</v>
      </c>
      <c r="S110" s="28"/>
      <c r="T110" s="34"/>
      <c r="U110" s="34"/>
    </row>
    <row r="111" spans="1:21" s="1" customFormat="1" ht="18.75" customHeight="1">
      <c r="A111" s="11">
        <v>109</v>
      </c>
      <c r="B111" s="42" t="s">
        <v>147</v>
      </c>
      <c r="C111" s="34" t="s">
        <v>96</v>
      </c>
      <c r="D111" s="43"/>
      <c r="E111" s="28"/>
      <c r="F111" s="39"/>
      <c r="G111" s="31"/>
      <c r="H111" s="39"/>
      <c r="I111" s="39"/>
      <c r="J111" s="30">
        <v>6</v>
      </c>
      <c r="K111" s="16">
        <f t="shared" si="19"/>
        <v>48</v>
      </c>
      <c r="L111" s="17">
        <v>2</v>
      </c>
      <c r="M111" s="16">
        <f t="shared" si="20"/>
        <v>24</v>
      </c>
      <c r="N111" s="16">
        <f t="shared" si="21"/>
        <v>8</v>
      </c>
      <c r="O111" s="16">
        <f t="shared" si="22"/>
        <v>80</v>
      </c>
      <c r="P111" s="25"/>
      <c r="Q111" s="33">
        <v>28</v>
      </c>
      <c r="R111" s="23">
        <v>48</v>
      </c>
      <c r="S111" s="28">
        <v>50</v>
      </c>
      <c r="T111" s="34"/>
      <c r="U111" s="34"/>
    </row>
    <row r="112" spans="1:21" s="1" customFormat="1" ht="18.75" customHeight="1">
      <c r="A112" s="11">
        <v>110</v>
      </c>
      <c r="B112" s="42" t="s">
        <v>148</v>
      </c>
      <c r="C112" s="34" t="s">
        <v>96</v>
      </c>
      <c r="D112" s="21"/>
      <c r="E112" s="28"/>
      <c r="F112" s="23"/>
      <c r="G112" s="24"/>
      <c r="H112" s="39"/>
      <c r="I112" s="39"/>
      <c r="J112" s="30">
        <v>8.5</v>
      </c>
      <c r="K112" s="16">
        <f t="shared" si="19"/>
        <v>68</v>
      </c>
      <c r="L112" s="17">
        <v>11</v>
      </c>
      <c r="M112" s="16">
        <f t="shared" si="20"/>
        <v>132</v>
      </c>
      <c r="N112" s="16">
        <f t="shared" si="21"/>
        <v>44</v>
      </c>
      <c r="O112" s="16">
        <f t="shared" si="22"/>
        <v>244</v>
      </c>
      <c r="P112" s="25"/>
      <c r="Q112" s="33">
        <v>30</v>
      </c>
      <c r="R112" s="23">
        <v>72</v>
      </c>
      <c r="S112" s="28">
        <v>20</v>
      </c>
      <c r="T112" s="34"/>
      <c r="U112" s="34"/>
    </row>
    <row r="113" spans="1:21" s="1" customFormat="1" ht="18.75" customHeight="1">
      <c r="A113" s="11">
        <v>111</v>
      </c>
      <c r="B113" s="42" t="s">
        <v>149</v>
      </c>
      <c r="C113" s="34" t="s">
        <v>96</v>
      </c>
      <c r="D113" s="43"/>
      <c r="E113" s="28"/>
      <c r="F113" s="23"/>
      <c r="G113" s="24"/>
      <c r="H113" s="39"/>
      <c r="I113" s="39"/>
      <c r="J113" s="30">
        <v>4</v>
      </c>
      <c r="K113" s="16">
        <f t="shared" si="19"/>
        <v>32</v>
      </c>
      <c r="L113" s="17">
        <v>6</v>
      </c>
      <c r="M113" s="16">
        <f t="shared" si="20"/>
        <v>72</v>
      </c>
      <c r="N113" s="16">
        <f t="shared" si="21"/>
        <v>24</v>
      </c>
      <c r="O113" s="16">
        <f t="shared" si="22"/>
        <v>128</v>
      </c>
      <c r="P113" s="25"/>
      <c r="Q113" s="33">
        <v>12</v>
      </c>
      <c r="R113" s="23">
        <v>72</v>
      </c>
      <c r="S113" s="28"/>
      <c r="T113" s="34"/>
      <c r="U113" s="34"/>
    </row>
    <row r="114" spans="1:21" s="1" customFormat="1" ht="18.75" customHeight="1">
      <c r="A114" s="11">
        <v>112</v>
      </c>
      <c r="B114" s="42" t="s">
        <v>150</v>
      </c>
      <c r="C114" s="34" t="s">
        <v>96</v>
      </c>
      <c r="D114" s="43" t="s">
        <v>509</v>
      </c>
      <c r="E114" s="28"/>
      <c r="F114" s="23"/>
      <c r="G114" s="24"/>
      <c r="H114" s="39"/>
      <c r="I114" s="39"/>
      <c r="J114" s="30"/>
      <c r="K114" s="16"/>
      <c r="L114" s="17"/>
      <c r="M114" s="16"/>
      <c r="N114" s="16"/>
      <c r="O114" s="16"/>
      <c r="P114" s="25"/>
      <c r="Q114" s="33"/>
      <c r="R114" s="23"/>
      <c r="S114" s="28"/>
      <c r="T114" s="34"/>
      <c r="U114" s="34"/>
    </row>
    <row r="115" spans="1:21" s="1" customFormat="1" ht="18.75" customHeight="1">
      <c r="A115" s="11">
        <v>113</v>
      </c>
      <c r="B115" s="42" t="s">
        <v>153</v>
      </c>
      <c r="C115" s="34" t="s">
        <v>96</v>
      </c>
      <c r="D115" s="43"/>
      <c r="E115" s="28"/>
      <c r="F115" s="23"/>
      <c r="G115" s="24"/>
      <c r="H115" s="39"/>
      <c r="I115" s="39"/>
      <c r="J115" s="30">
        <v>9</v>
      </c>
      <c r="K115" s="16">
        <f t="shared" si="19"/>
        <v>72</v>
      </c>
      <c r="L115" s="17">
        <v>3</v>
      </c>
      <c r="M115" s="16">
        <f t="shared" si="20"/>
        <v>36</v>
      </c>
      <c r="N115" s="16">
        <f t="shared" si="21"/>
        <v>12</v>
      </c>
      <c r="O115" s="16">
        <f t="shared" si="22"/>
        <v>120</v>
      </c>
      <c r="P115" s="25"/>
      <c r="Q115" s="33"/>
      <c r="R115" s="23"/>
      <c r="S115" s="28"/>
      <c r="T115" s="34"/>
      <c r="U115" s="34"/>
    </row>
    <row r="116" spans="1:21" ht="18.75" customHeight="1">
      <c r="A116" s="11">
        <v>114</v>
      </c>
      <c r="B116" s="41" t="s">
        <v>154</v>
      </c>
      <c r="C116" s="34" t="s">
        <v>155</v>
      </c>
      <c r="D116" s="36"/>
      <c r="E116" s="28"/>
      <c r="F116" s="23"/>
      <c r="G116" s="24"/>
      <c r="H116" s="39"/>
      <c r="I116" s="39"/>
      <c r="J116" s="30"/>
      <c r="K116" s="16"/>
      <c r="L116" s="17"/>
      <c r="M116" s="16"/>
      <c r="N116" s="16"/>
      <c r="O116" s="16"/>
      <c r="P116" s="25">
        <v>27</v>
      </c>
      <c r="Q116" s="33"/>
      <c r="R116" s="23">
        <v>40</v>
      </c>
      <c r="S116" s="28"/>
      <c r="T116" s="34"/>
      <c r="U116" s="34"/>
    </row>
    <row r="117" spans="1:21" ht="18.75" customHeight="1">
      <c r="A117" s="11">
        <v>115</v>
      </c>
      <c r="B117" s="41" t="s">
        <v>156</v>
      </c>
      <c r="C117" s="34" t="s">
        <v>155</v>
      </c>
      <c r="D117" s="36"/>
      <c r="E117" s="28"/>
      <c r="F117" s="23"/>
      <c r="G117" s="24"/>
      <c r="H117" s="39"/>
      <c r="I117" s="39"/>
      <c r="J117" s="30">
        <v>5</v>
      </c>
      <c r="K117" s="16">
        <f t="shared" si="19"/>
        <v>40</v>
      </c>
      <c r="L117" s="17"/>
      <c r="M117" s="16"/>
      <c r="N117" s="16"/>
      <c r="O117" s="16">
        <f t="shared" si="22"/>
        <v>40</v>
      </c>
      <c r="P117" s="25"/>
      <c r="Q117" s="33">
        <v>34</v>
      </c>
      <c r="R117" s="23">
        <v>71</v>
      </c>
      <c r="S117" s="28">
        <v>20</v>
      </c>
      <c r="T117" s="34"/>
      <c r="U117" s="34"/>
    </row>
    <row r="118" spans="1:21" ht="18.75" customHeight="1">
      <c r="A118" s="11">
        <v>116</v>
      </c>
      <c r="B118" s="41" t="s">
        <v>157</v>
      </c>
      <c r="C118" s="34" t="s">
        <v>155</v>
      </c>
      <c r="D118" s="36"/>
      <c r="E118" s="28"/>
      <c r="F118" s="23"/>
      <c r="G118" s="24">
        <v>8</v>
      </c>
      <c r="H118" s="39"/>
      <c r="I118" s="39"/>
      <c r="J118" s="30">
        <v>7</v>
      </c>
      <c r="K118" s="16">
        <f t="shared" si="19"/>
        <v>56</v>
      </c>
      <c r="L118" s="17">
        <v>11</v>
      </c>
      <c r="M118" s="16">
        <f t="shared" si="20"/>
        <v>132</v>
      </c>
      <c r="N118" s="16">
        <f t="shared" si="21"/>
        <v>44</v>
      </c>
      <c r="O118" s="16">
        <f t="shared" si="22"/>
        <v>232</v>
      </c>
      <c r="P118" s="25"/>
      <c r="Q118" s="33"/>
      <c r="R118" s="23"/>
      <c r="S118" s="28"/>
      <c r="T118" s="34"/>
      <c r="U118" s="34"/>
    </row>
    <row r="119" spans="1:21" ht="18.75" customHeight="1">
      <c r="A119" s="11">
        <v>117</v>
      </c>
      <c r="B119" s="41" t="s">
        <v>158</v>
      </c>
      <c r="C119" s="34" t="s">
        <v>155</v>
      </c>
      <c r="D119" s="36"/>
      <c r="E119" s="28"/>
      <c r="F119" s="23"/>
      <c r="G119" s="24"/>
      <c r="H119" s="39"/>
      <c r="I119" s="39"/>
      <c r="J119" s="30">
        <v>4</v>
      </c>
      <c r="K119" s="16">
        <f t="shared" si="19"/>
        <v>32</v>
      </c>
      <c r="L119" s="17"/>
      <c r="M119" s="16"/>
      <c r="N119" s="16"/>
      <c r="O119" s="16">
        <f t="shared" si="22"/>
        <v>32</v>
      </c>
      <c r="P119" s="25"/>
      <c r="Q119" s="33">
        <v>30</v>
      </c>
      <c r="R119" s="23">
        <v>64</v>
      </c>
      <c r="S119" s="28">
        <v>30</v>
      </c>
      <c r="T119" s="34"/>
      <c r="U119" s="34"/>
    </row>
    <row r="120" spans="1:21" ht="18.75" customHeight="1">
      <c r="A120" s="11">
        <v>118</v>
      </c>
      <c r="B120" s="41" t="s">
        <v>159</v>
      </c>
      <c r="C120" s="34" t="s">
        <v>155</v>
      </c>
      <c r="D120" s="36"/>
      <c r="E120" s="28"/>
      <c r="F120" s="23"/>
      <c r="G120" s="24"/>
      <c r="H120" s="39"/>
      <c r="I120" s="39"/>
      <c r="J120" s="30">
        <v>2</v>
      </c>
      <c r="K120" s="16">
        <f t="shared" si="19"/>
        <v>16</v>
      </c>
      <c r="L120" s="17">
        <v>2</v>
      </c>
      <c r="M120" s="16">
        <f t="shared" si="20"/>
        <v>24</v>
      </c>
      <c r="N120" s="16">
        <f t="shared" si="21"/>
        <v>8</v>
      </c>
      <c r="O120" s="16">
        <f t="shared" si="22"/>
        <v>48</v>
      </c>
      <c r="P120" s="25">
        <v>24</v>
      </c>
      <c r="Q120" s="33"/>
      <c r="R120" s="23"/>
      <c r="S120" s="28"/>
      <c r="T120" s="34"/>
      <c r="U120" s="34"/>
    </row>
    <row r="121" spans="1:21" s="1" customFormat="1" ht="18.75" customHeight="1">
      <c r="A121" s="11">
        <v>119</v>
      </c>
      <c r="B121" s="41" t="s">
        <v>160</v>
      </c>
      <c r="C121" s="34" t="s">
        <v>155</v>
      </c>
      <c r="D121" s="36"/>
      <c r="E121" s="28"/>
      <c r="F121" s="23"/>
      <c r="G121" s="24"/>
      <c r="H121" s="39"/>
      <c r="I121" s="39"/>
      <c r="J121" s="30">
        <v>4</v>
      </c>
      <c r="K121" s="16">
        <f t="shared" si="19"/>
        <v>32</v>
      </c>
      <c r="L121" s="17"/>
      <c r="M121" s="16"/>
      <c r="N121" s="16"/>
      <c r="O121" s="16">
        <f t="shared" si="22"/>
        <v>32</v>
      </c>
      <c r="P121" s="25"/>
      <c r="Q121" s="33">
        <v>32</v>
      </c>
      <c r="R121" s="23">
        <v>72</v>
      </c>
      <c r="S121" s="28"/>
      <c r="T121" s="34"/>
      <c r="U121" s="34"/>
    </row>
    <row r="122" spans="1:21" ht="18.75" customHeight="1">
      <c r="A122" s="11">
        <v>120</v>
      </c>
      <c r="B122" s="41" t="s">
        <v>161</v>
      </c>
      <c r="C122" s="34" t="s">
        <v>155</v>
      </c>
      <c r="D122" s="27"/>
      <c r="E122" s="28"/>
      <c r="F122" s="23"/>
      <c r="G122" s="24">
        <v>32</v>
      </c>
      <c r="H122" s="39"/>
      <c r="I122" s="39"/>
      <c r="J122" s="30">
        <v>4</v>
      </c>
      <c r="K122" s="16">
        <f t="shared" si="19"/>
        <v>32</v>
      </c>
      <c r="L122" s="17">
        <v>7</v>
      </c>
      <c r="M122" s="16">
        <f t="shared" si="20"/>
        <v>84</v>
      </c>
      <c r="N122" s="16">
        <f t="shared" si="21"/>
        <v>28</v>
      </c>
      <c r="O122" s="16">
        <f t="shared" si="22"/>
        <v>144</v>
      </c>
      <c r="P122" s="25">
        <v>32</v>
      </c>
      <c r="Q122" s="33"/>
      <c r="R122" s="23"/>
      <c r="S122" s="28"/>
      <c r="T122" s="34"/>
      <c r="U122" s="34"/>
    </row>
    <row r="123" spans="1:21" ht="18.75" customHeight="1">
      <c r="A123" s="11">
        <v>121</v>
      </c>
      <c r="B123" s="41" t="s">
        <v>162</v>
      </c>
      <c r="C123" s="34" t="s">
        <v>155</v>
      </c>
      <c r="D123" s="36"/>
      <c r="E123" s="28"/>
      <c r="F123" s="23"/>
      <c r="G123" s="24"/>
      <c r="H123" s="39"/>
      <c r="I123" s="39"/>
      <c r="J123" s="30">
        <v>11.5</v>
      </c>
      <c r="K123" s="16">
        <f t="shared" si="19"/>
        <v>92</v>
      </c>
      <c r="L123" s="17">
        <v>10</v>
      </c>
      <c r="M123" s="16">
        <f t="shared" si="20"/>
        <v>120</v>
      </c>
      <c r="N123" s="16">
        <f t="shared" si="21"/>
        <v>40</v>
      </c>
      <c r="O123" s="16">
        <f t="shared" si="22"/>
        <v>252</v>
      </c>
      <c r="P123" s="25"/>
      <c r="Q123" s="33">
        <v>32</v>
      </c>
      <c r="R123" s="23">
        <v>52</v>
      </c>
      <c r="S123" s="28">
        <v>40</v>
      </c>
      <c r="T123" s="34"/>
      <c r="U123" s="34"/>
    </row>
    <row r="124" spans="1:21" ht="18.75" customHeight="1">
      <c r="A124" s="11">
        <v>122</v>
      </c>
      <c r="B124" s="41" t="s">
        <v>163</v>
      </c>
      <c r="C124" s="34" t="s">
        <v>155</v>
      </c>
      <c r="D124" s="36"/>
      <c r="E124" s="28"/>
      <c r="F124" s="23"/>
      <c r="G124" s="24">
        <v>8</v>
      </c>
      <c r="H124" s="39"/>
      <c r="I124" s="39"/>
      <c r="J124" s="30">
        <v>4.5</v>
      </c>
      <c r="K124" s="16">
        <f t="shared" si="19"/>
        <v>36</v>
      </c>
      <c r="L124" s="17">
        <v>8</v>
      </c>
      <c r="M124" s="16">
        <f t="shared" si="20"/>
        <v>96</v>
      </c>
      <c r="N124" s="16">
        <f t="shared" si="21"/>
        <v>32</v>
      </c>
      <c r="O124" s="16">
        <f t="shared" si="22"/>
        <v>164</v>
      </c>
      <c r="P124" s="25"/>
      <c r="Q124" s="33">
        <v>4</v>
      </c>
      <c r="R124" s="23">
        <v>65</v>
      </c>
      <c r="S124" s="28"/>
      <c r="T124" s="34"/>
      <c r="U124" s="34"/>
    </row>
    <row r="125" spans="1:21" ht="18.75" customHeight="1">
      <c r="A125" s="11">
        <v>123</v>
      </c>
      <c r="B125" s="41" t="s">
        <v>511</v>
      </c>
      <c r="C125" s="34" t="s">
        <v>155</v>
      </c>
      <c r="D125" s="36" t="s">
        <v>512</v>
      </c>
      <c r="E125" s="28"/>
      <c r="F125" s="23"/>
      <c r="G125" s="24">
        <v>2</v>
      </c>
      <c r="H125" s="39"/>
      <c r="I125" s="39"/>
      <c r="J125" s="30"/>
      <c r="K125" s="16"/>
      <c r="L125" s="17"/>
      <c r="M125" s="16"/>
      <c r="N125" s="16"/>
      <c r="O125" s="16"/>
      <c r="P125" s="25"/>
      <c r="Q125" s="33"/>
      <c r="R125" s="23"/>
      <c r="S125" s="28"/>
      <c r="T125" s="34"/>
      <c r="U125" s="34"/>
    </row>
    <row r="126" spans="1:21" ht="18.75" customHeight="1">
      <c r="A126" s="11">
        <v>124</v>
      </c>
      <c r="B126" s="41" t="s">
        <v>165</v>
      </c>
      <c r="C126" s="34" t="s">
        <v>155</v>
      </c>
      <c r="D126" s="36"/>
      <c r="E126" s="28"/>
      <c r="F126" s="23"/>
      <c r="G126" s="24"/>
      <c r="H126" s="39"/>
      <c r="I126" s="39"/>
      <c r="J126" s="30">
        <v>6.5</v>
      </c>
      <c r="K126" s="16">
        <f t="shared" si="19"/>
        <v>52</v>
      </c>
      <c r="L126" s="17">
        <v>5</v>
      </c>
      <c r="M126" s="16">
        <f t="shared" si="20"/>
        <v>60</v>
      </c>
      <c r="N126" s="16">
        <f t="shared" si="21"/>
        <v>20</v>
      </c>
      <c r="O126" s="16">
        <f t="shared" si="22"/>
        <v>132</v>
      </c>
      <c r="P126" s="25"/>
      <c r="Q126" s="33">
        <v>36</v>
      </c>
      <c r="R126" s="23">
        <v>72</v>
      </c>
      <c r="S126" s="28">
        <v>20</v>
      </c>
      <c r="T126" s="34"/>
      <c r="U126" s="34"/>
    </row>
    <row r="127" spans="1:21" ht="18.75" customHeight="1">
      <c r="A127" s="11">
        <v>125</v>
      </c>
      <c r="B127" s="42" t="s">
        <v>166</v>
      </c>
      <c r="C127" s="34" t="s">
        <v>155</v>
      </c>
      <c r="D127" s="12"/>
      <c r="E127" s="28"/>
      <c r="F127" s="23"/>
      <c r="G127" s="24"/>
      <c r="H127" s="39"/>
      <c r="I127" s="39"/>
      <c r="J127" s="30">
        <v>5.5</v>
      </c>
      <c r="K127" s="16">
        <f t="shared" si="19"/>
        <v>44</v>
      </c>
      <c r="L127" s="17">
        <v>11</v>
      </c>
      <c r="M127" s="16">
        <f t="shared" si="20"/>
        <v>132</v>
      </c>
      <c r="N127" s="16">
        <f t="shared" si="21"/>
        <v>44</v>
      </c>
      <c r="O127" s="16">
        <f t="shared" si="22"/>
        <v>220</v>
      </c>
      <c r="P127" s="25">
        <v>32</v>
      </c>
      <c r="Q127" s="33"/>
      <c r="R127" s="23">
        <v>30</v>
      </c>
      <c r="S127" s="28"/>
      <c r="T127" s="34"/>
      <c r="U127" s="34"/>
    </row>
    <row r="128" spans="1:21" ht="18.75" customHeight="1">
      <c r="A128" s="11">
        <v>126</v>
      </c>
      <c r="B128" s="42" t="s">
        <v>167</v>
      </c>
      <c r="C128" s="34" t="s">
        <v>155</v>
      </c>
      <c r="D128" s="12"/>
      <c r="E128" s="28"/>
      <c r="F128" s="23"/>
      <c r="G128" s="24"/>
      <c r="H128" s="39"/>
      <c r="I128" s="39"/>
      <c r="J128" s="30">
        <v>11</v>
      </c>
      <c r="K128" s="16">
        <f t="shared" si="19"/>
        <v>88</v>
      </c>
      <c r="L128" s="17">
        <v>12</v>
      </c>
      <c r="M128" s="16">
        <f t="shared" si="20"/>
        <v>144</v>
      </c>
      <c r="N128" s="16">
        <f t="shared" si="21"/>
        <v>48</v>
      </c>
      <c r="O128" s="16">
        <f t="shared" si="22"/>
        <v>280</v>
      </c>
      <c r="P128" s="25">
        <v>4</v>
      </c>
      <c r="Q128" s="33"/>
      <c r="R128" s="23"/>
      <c r="S128" s="28"/>
      <c r="T128" s="34"/>
      <c r="U128" s="34"/>
    </row>
    <row r="129" spans="1:21" ht="18.75" customHeight="1">
      <c r="A129" s="11">
        <v>127</v>
      </c>
      <c r="B129" s="19" t="s">
        <v>168</v>
      </c>
      <c r="C129" s="34" t="s">
        <v>155</v>
      </c>
      <c r="D129" s="21"/>
      <c r="E129" s="28"/>
      <c r="F129" s="23"/>
      <c r="G129" s="24">
        <v>2</v>
      </c>
      <c r="H129" s="39"/>
      <c r="I129" s="39"/>
      <c r="J129" s="30">
        <v>1</v>
      </c>
      <c r="K129" s="16">
        <f t="shared" si="19"/>
        <v>8</v>
      </c>
      <c r="L129" s="17"/>
      <c r="M129" s="16"/>
      <c r="N129" s="16"/>
      <c r="O129" s="16">
        <f t="shared" si="22"/>
        <v>8</v>
      </c>
      <c r="P129" s="25"/>
      <c r="Q129" s="33">
        <v>36</v>
      </c>
      <c r="R129" s="23">
        <v>55</v>
      </c>
      <c r="S129" s="28">
        <v>30</v>
      </c>
      <c r="T129" s="34"/>
      <c r="U129" s="34"/>
    </row>
    <row r="130" spans="1:21" ht="18.75" customHeight="1">
      <c r="A130" s="11">
        <v>128</v>
      </c>
      <c r="B130" s="19" t="s">
        <v>169</v>
      </c>
      <c r="C130" s="34" t="s">
        <v>155</v>
      </c>
      <c r="D130" s="21"/>
      <c r="E130" s="28"/>
      <c r="F130" s="23"/>
      <c r="G130" s="24"/>
      <c r="H130" s="39"/>
      <c r="I130" s="39"/>
      <c r="J130" s="30">
        <v>12</v>
      </c>
      <c r="K130" s="16">
        <f t="shared" si="19"/>
        <v>96</v>
      </c>
      <c r="L130" s="17">
        <v>13</v>
      </c>
      <c r="M130" s="16">
        <f t="shared" si="20"/>
        <v>156</v>
      </c>
      <c r="N130" s="16">
        <f t="shared" si="21"/>
        <v>52</v>
      </c>
      <c r="O130" s="16">
        <f t="shared" si="22"/>
        <v>304</v>
      </c>
      <c r="P130" s="25"/>
      <c r="Q130" s="33">
        <v>24</v>
      </c>
      <c r="R130" s="23">
        <v>60</v>
      </c>
      <c r="S130" s="28"/>
      <c r="T130" s="34"/>
      <c r="U130" s="34"/>
    </row>
    <row r="131" spans="1:21" ht="18.75" customHeight="1">
      <c r="A131" s="11">
        <v>129</v>
      </c>
      <c r="B131" s="42" t="s">
        <v>170</v>
      </c>
      <c r="C131" s="34" t="s">
        <v>155</v>
      </c>
      <c r="D131" s="21"/>
      <c r="E131" s="28"/>
      <c r="F131" s="23"/>
      <c r="G131" s="24">
        <v>2</v>
      </c>
      <c r="H131" s="39"/>
      <c r="I131" s="39"/>
      <c r="J131" s="30">
        <v>2</v>
      </c>
      <c r="K131" s="16">
        <f t="shared" si="19"/>
        <v>16</v>
      </c>
      <c r="L131" s="17"/>
      <c r="M131" s="16"/>
      <c r="N131" s="16"/>
      <c r="O131" s="16">
        <f t="shared" si="22"/>
        <v>16</v>
      </c>
      <c r="P131" s="25"/>
      <c r="Q131" s="33">
        <v>30</v>
      </c>
      <c r="R131" s="23">
        <v>55</v>
      </c>
      <c r="S131" s="28"/>
      <c r="T131" s="34"/>
      <c r="U131" s="34"/>
    </row>
    <row r="132" spans="1:21" s="1" customFormat="1" ht="18.75" customHeight="1">
      <c r="A132" s="11">
        <v>130</v>
      </c>
      <c r="B132" s="42" t="s">
        <v>171</v>
      </c>
      <c r="C132" s="34" t="s">
        <v>155</v>
      </c>
      <c r="D132" s="21" t="s">
        <v>524</v>
      </c>
      <c r="E132" s="28"/>
      <c r="F132" s="23"/>
      <c r="G132" s="24"/>
      <c r="H132" s="39"/>
      <c r="I132" s="39"/>
      <c r="J132" s="30">
        <v>12.5</v>
      </c>
      <c r="K132" s="16">
        <f t="shared" si="19"/>
        <v>100</v>
      </c>
      <c r="L132" s="17">
        <v>10</v>
      </c>
      <c r="M132" s="16">
        <f t="shared" si="20"/>
        <v>120</v>
      </c>
      <c r="N132" s="16">
        <f t="shared" si="21"/>
        <v>40</v>
      </c>
      <c r="O132" s="16">
        <f t="shared" si="22"/>
        <v>260</v>
      </c>
      <c r="P132" s="25">
        <v>26</v>
      </c>
      <c r="Q132" s="33"/>
      <c r="R132" s="23"/>
      <c r="S132" s="28"/>
      <c r="T132" s="34"/>
      <c r="U132" s="34"/>
    </row>
    <row r="133" spans="1:21" ht="18.75" customHeight="1">
      <c r="A133" s="11">
        <v>131</v>
      </c>
      <c r="B133" s="42" t="s">
        <v>172</v>
      </c>
      <c r="C133" s="34" t="s">
        <v>155</v>
      </c>
      <c r="D133" s="12"/>
      <c r="E133" s="28"/>
      <c r="F133" s="23"/>
      <c r="G133" s="24">
        <v>2</v>
      </c>
      <c r="H133" s="39"/>
      <c r="I133" s="39"/>
      <c r="J133" s="30">
        <v>1</v>
      </c>
      <c r="K133" s="16">
        <f t="shared" si="19"/>
        <v>8</v>
      </c>
      <c r="L133" s="17"/>
      <c r="M133" s="16"/>
      <c r="N133" s="16"/>
      <c r="O133" s="16">
        <f t="shared" si="22"/>
        <v>8</v>
      </c>
      <c r="P133" s="25"/>
      <c r="Q133" s="33">
        <v>36</v>
      </c>
      <c r="R133" s="23">
        <v>60</v>
      </c>
      <c r="S133" s="28">
        <v>30</v>
      </c>
      <c r="T133" s="34"/>
      <c r="U133" s="34"/>
    </row>
    <row r="134" spans="1:21" ht="18.75" customHeight="1">
      <c r="A134" s="11">
        <v>132</v>
      </c>
      <c r="B134" s="19" t="s">
        <v>173</v>
      </c>
      <c r="C134" s="34" t="s">
        <v>155</v>
      </c>
      <c r="D134" s="21"/>
      <c r="E134" s="28"/>
      <c r="F134" s="23"/>
      <c r="G134" s="24"/>
      <c r="H134" s="39"/>
      <c r="I134" s="39"/>
      <c r="J134" s="30">
        <v>8</v>
      </c>
      <c r="K134" s="16">
        <f t="shared" si="19"/>
        <v>64</v>
      </c>
      <c r="L134" s="17">
        <v>6</v>
      </c>
      <c r="M134" s="16">
        <f t="shared" si="20"/>
        <v>72</v>
      </c>
      <c r="N134" s="16">
        <f t="shared" si="21"/>
        <v>24</v>
      </c>
      <c r="O134" s="16">
        <f t="shared" si="22"/>
        <v>160</v>
      </c>
      <c r="P134" s="25">
        <v>30</v>
      </c>
      <c r="Q134" s="33"/>
      <c r="R134" s="23">
        <v>10</v>
      </c>
      <c r="S134" s="28"/>
      <c r="T134" s="34"/>
      <c r="U134" s="34"/>
    </row>
    <row r="135" spans="1:21" s="1" customFormat="1" ht="18.75" customHeight="1">
      <c r="A135" s="11">
        <v>133</v>
      </c>
      <c r="B135" s="42" t="s">
        <v>174</v>
      </c>
      <c r="C135" s="34" t="s">
        <v>155</v>
      </c>
      <c r="D135" s="21"/>
      <c r="E135" s="28"/>
      <c r="F135" s="23"/>
      <c r="G135" s="24"/>
      <c r="H135" s="39"/>
      <c r="I135" s="39"/>
      <c r="J135" s="30">
        <v>5.5</v>
      </c>
      <c r="K135" s="16">
        <f t="shared" si="19"/>
        <v>44</v>
      </c>
      <c r="L135" s="17">
        <v>11</v>
      </c>
      <c r="M135" s="16">
        <f t="shared" si="20"/>
        <v>132</v>
      </c>
      <c r="N135" s="16">
        <f t="shared" si="21"/>
        <v>44</v>
      </c>
      <c r="O135" s="16">
        <f t="shared" si="22"/>
        <v>220</v>
      </c>
      <c r="P135" s="25">
        <v>12</v>
      </c>
      <c r="Q135" s="33"/>
      <c r="R135" s="23"/>
      <c r="S135" s="28"/>
      <c r="T135" s="34"/>
      <c r="U135" s="34"/>
    </row>
    <row r="136" spans="1:21" s="1" customFormat="1" ht="18.75" customHeight="1">
      <c r="A136" s="11">
        <v>134</v>
      </c>
      <c r="B136" s="42" t="s">
        <v>175</v>
      </c>
      <c r="C136" s="34" t="s">
        <v>155</v>
      </c>
      <c r="D136" s="21" t="s">
        <v>510</v>
      </c>
      <c r="E136" s="28"/>
      <c r="F136" s="23">
        <v>17</v>
      </c>
      <c r="G136" s="24"/>
      <c r="H136" s="39"/>
      <c r="I136" s="39"/>
      <c r="J136" s="30"/>
      <c r="K136" s="16"/>
      <c r="L136" s="17"/>
      <c r="M136" s="16"/>
      <c r="N136" s="16"/>
      <c r="O136" s="16"/>
      <c r="P136" s="25"/>
      <c r="Q136" s="33"/>
      <c r="R136" s="23"/>
      <c r="S136" s="28"/>
      <c r="T136" s="34"/>
      <c r="U136" s="34"/>
    </row>
    <row r="137" spans="1:21" s="1" customFormat="1" ht="18.75" customHeight="1">
      <c r="A137" s="11">
        <v>135</v>
      </c>
      <c r="B137" s="32" t="s">
        <v>177</v>
      </c>
      <c r="C137" s="34" t="s">
        <v>155</v>
      </c>
      <c r="D137" s="36"/>
      <c r="E137" s="28"/>
      <c r="F137" s="23"/>
      <c r="G137" s="24"/>
      <c r="H137" s="39"/>
      <c r="I137" s="39"/>
      <c r="J137" s="30">
        <v>9</v>
      </c>
      <c r="K137" s="16">
        <f t="shared" si="19"/>
        <v>72</v>
      </c>
      <c r="L137" s="17">
        <v>7</v>
      </c>
      <c r="M137" s="16">
        <f t="shared" si="20"/>
        <v>84</v>
      </c>
      <c r="N137" s="16">
        <f t="shared" si="21"/>
        <v>28</v>
      </c>
      <c r="O137" s="16">
        <f t="shared" si="22"/>
        <v>184</v>
      </c>
      <c r="P137" s="25">
        <v>36</v>
      </c>
      <c r="Q137" s="33"/>
      <c r="R137" s="23"/>
      <c r="S137" s="28"/>
      <c r="T137" s="34"/>
      <c r="U137" s="34"/>
    </row>
    <row r="138" spans="1:21" s="1" customFormat="1" ht="18.75" customHeight="1">
      <c r="A138" s="11">
        <v>136</v>
      </c>
      <c r="B138" s="42" t="s">
        <v>178</v>
      </c>
      <c r="C138" s="34" t="s">
        <v>155</v>
      </c>
      <c r="D138" s="21"/>
      <c r="E138" s="28"/>
      <c r="F138" s="23"/>
      <c r="G138" s="24"/>
      <c r="H138" s="39"/>
      <c r="I138" s="39"/>
      <c r="J138" s="30"/>
      <c r="K138" s="16"/>
      <c r="L138" s="17"/>
      <c r="M138" s="16"/>
      <c r="N138" s="16"/>
      <c r="O138" s="16"/>
      <c r="P138" s="25">
        <v>28</v>
      </c>
      <c r="Q138" s="33"/>
      <c r="R138" s="23"/>
      <c r="S138" s="28"/>
      <c r="T138" s="34"/>
      <c r="U138" s="34"/>
    </row>
    <row r="139" spans="1:21" s="1" customFormat="1" ht="18.75" customHeight="1">
      <c r="A139" s="11">
        <v>137</v>
      </c>
      <c r="B139" s="42" t="s">
        <v>180</v>
      </c>
      <c r="C139" s="34" t="s">
        <v>155</v>
      </c>
      <c r="D139" s="21" t="s">
        <v>513</v>
      </c>
      <c r="E139" s="28"/>
      <c r="F139" s="23"/>
      <c r="G139" s="24"/>
      <c r="H139" s="39"/>
      <c r="I139" s="39"/>
      <c r="J139" s="30">
        <v>7</v>
      </c>
      <c r="K139" s="16">
        <f t="shared" si="19"/>
        <v>56</v>
      </c>
      <c r="L139" s="17"/>
      <c r="M139" s="16"/>
      <c r="N139" s="16"/>
      <c r="O139" s="16">
        <f t="shared" si="22"/>
        <v>56</v>
      </c>
      <c r="P139" s="25"/>
      <c r="Q139" s="33">
        <v>28</v>
      </c>
      <c r="R139" s="23">
        <v>40</v>
      </c>
      <c r="S139" s="28"/>
      <c r="T139" s="34"/>
      <c r="U139" s="34"/>
    </row>
    <row r="140" spans="1:21" s="1" customFormat="1" ht="18.75" customHeight="1">
      <c r="A140" s="11">
        <v>138</v>
      </c>
      <c r="B140" s="42" t="s">
        <v>185</v>
      </c>
      <c r="C140" s="34" t="s">
        <v>155</v>
      </c>
      <c r="D140" s="21"/>
      <c r="E140" s="28"/>
      <c r="F140" s="23"/>
      <c r="G140" s="24"/>
      <c r="H140" s="39"/>
      <c r="I140" s="39"/>
      <c r="J140" s="30">
        <v>9</v>
      </c>
      <c r="K140" s="16">
        <f t="shared" ref="K140:K183" si="23">J140*8</f>
        <v>72</v>
      </c>
      <c r="L140" s="17">
        <v>13</v>
      </c>
      <c r="M140" s="16">
        <f t="shared" ref="M140:M183" si="24">L140*12</f>
        <v>156</v>
      </c>
      <c r="N140" s="16">
        <f t="shared" ref="N140:N183" si="25">L140*4</f>
        <v>52</v>
      </c>
      <c r="O140" s="16">
        <f t="shared" ref="O140:O183" si="26">N140+M140+K140</f>
        <v>280</v>
      </c>
      <c r="P140" s="25"/>
      <c r="Q140" s="33">
        <v>32</v>
      </c>
      <c r="R140" s="23">
        <v>64</v>
      </c>
      <c r="S140" s="28">
        <v>30</v>
      </c>
      <c r="T140" s="34"/>
      <c r="U140" s="34"/>
    </row>
    <row r="141" spans="1:21" s="1" customFormat="1" ht="18.75" customHeight="1">
      <c r="A141" s="11">
        <v>139</v>
      </c>
      <c r="B141" s="42" t="s">
        <v>186</v>
      </c>
      <c r="C141" s="34" t="s">
        <v>155</v>
      </c>
      <c r="D141" s="21"/>
      <c r="E141" s="28"/>
      <c r="F141" s="23"/>
      <c r="G141" s="24"/>
      <c r="H141" s="39"/>
      <c r="I141" s="39" t="s">
        <v>526</v>
      </c>
      <c r="J141" s="30"/>
      <c r="K141" s="16"/>
      <c r="L141" s="17"/>
      <c r="M141" s="16"/>
      <c r="N141" s="16"/>
      <c r="O141" s="16"/>
      <c r="P141" s="25">
        <v>12</v>
      </c>
      <c r="Q141" s="33"/>
      <c r="R141" s="23"/>
      <c r="S141" s="28"/>
      <c r="T141" s="34"/>
      <c r="U141" s="34"/>
    </row>
    <row r="142" spans="1:21" s="1" customFormat="1" ht="18.75" customHeight="1">
      <c r="A142" s="11">
        <v>140</v>
      </c>
      <c r="B142" s="42" t="s">
        <v>187</v>
      </c>
      <c r="C142" s="34" t="s">
        <v>155</v>
      </c>
      <c r="D142" s="21"/>
      <c r="E142" s="28"/>
      <c r="F142" s="23"/>
      <c r="G142" s="24"/>
      <c r="H142" s="39"/>
      <c r="I142" s="39"/>
      <c r="J142" s="30"/>
      <c r="K142" s="16"/>
      <c r="L142" s="17"/>
      <c r="M142" s="16"/>
      <c r="N142" s="16"/>
      <c r="O142" s="16"/>
      <c r="P142" s="25"/>
      <c r="Q142" s="33"/>
      <c r="R142" s="23"/>
      <c r="S142" s="28"/>
      <c r="T142" s="34"/>
      <c r="U142" s="34"/>
    </row>
    <row r="143" spans="1:21" s="1" customFormat="1" ht="18.75" customHeight="1">
      <c r="A143" s="11">
        <v>141</v>
      </c>
      <c r="B143" s="42" t="s">
        <v>188</v>
      </c>
      <c r="C143" s="34" t="s">
        <v>155</v>
      </c>
      <c r="D143" s="21"/>
      <c r="E143" s="28"/>
      <c r="F143" s="23"/>
      <c r="G143" s="24">
        <v>48</v>
      </c>
      <c r="H143" s="39"/>
      <c r="I143" s="39"/>
      <c r="J143" s="30">
        <v>2</v>
      </c>
      <c r="K143" s="16">
        <f t="shared" si="23"/>
        <v>16</v>
      </c>
      <c r="L143" s="17">
        <v>2</v>
      </c>
      <c r="M143" s="16">
        <f t="shared" si="24"/>
        <v>24</v>
      </c>
      <c r="N143" s="16">
        <f t="shared" si="25"/>
        <v>8</v>
      </c>
      <c r="O143" s="16">
        <f t="shared" si="26"/>
        <v>48</v>
      </c>
      <c r="P143" s="25"/>
      <c r="Q143" s="33">
        <v>32</v>
      </c>
      <c r="R143" s="23">
        <v>65</v>
      </c>
      <c r="S143" s="28">
        <v>10</v>
      </c>
      <c r="T143" s="34"/>
      <c r="U143" s="34"/>
    </row>
    <row r="144" spans="1:21" s="1" customFormat="1" ht="18.75" customHeight="1">
      <c r="A144" s="11">
        <v>142</v>
      </c>
      <c r="B144" s="42" t="s">
        <v>189</v>
      </c>
      <c r="C144" s="34" t="s">
        <v>155</v>
      </c>
      <c r="D144" s="21"/>
      <c r="E144" s="28"/>
      <c r="F144" s="23"/>
      <c r="G144" s="24"/>
      <c r="H144" s="39"/>
      <c r="I144" s="39"/>
      <c r="J144" s="30">
        <v>1</v>
      </c>
      <c r="K144" s="16">
        <f t="shared" si="23"/>
        <v>8</v>
      </c>
      <c r="L144" s="17"/>
      <c r="M144" s="16"/>
      <c r="N144" s="16"/>
      <c r="O144" s="16">
        <f t="shared" si="26"/>
        <v>8</v>
      </c>
      <c r="P144" s="25">
        <v>34</v>
      </c>
      <c r="Q144" s="33"/>
      <c r="R144" s="23">
        <v>10</v>
      </c>
      <c r="S144" s="28"/>
      <c r="T144" s="34"/>
      <c r="U144" s="34"/>
    </row>
    <row r="145" spans="1:21" s="1" customFormat="1" ht="18.75" customHeight="1">
      <c r="A145" s="11">
        <v>143</v>
      </c>
      <c r="B145" s="42" t="s">
        <v>190</v>
      </c>
      <c r="C145" s="34" t="s">
        <v>155</v>
      </c>
      <c r="D145" s="21"/>
      <c r="E145" s="28"/>
      <c r="F145" s="23"/>
      <c r="G145" s="24"/>
      <c r="H145" s="39"/>
      <c r="I145" s="39"/>
      <c r="J145" s="30">
        <v>1</v>
      </c>
      <c r="K145" s="16">
        <f t="shared" si="23"/>
        <v>8</v>
      </c>
      <c r="L145" s="17">
        <v>2</v>
      </c>
      <c r="M145" s="16">
        <f t="shared" si="24"/>
        <v>24</v>
      </c>
      <c r="N145" s="16">
        <f t="shared" si="25"/>
        <v>8</v>
      </c>
      <c r="O145" s="16">
        <f t="shared" si="26"/>
        <v>40</v>
      </c>
      <c r="P145" s="25"/>
      <c r="Q145" s="33">
        <v>27</v>
      </c>
      <c r="R145" s="23">
        <v>44</v>
      </c>
      <c r="S145" s="28">
        <v>50</v>
      </c>
      <c r="T145" s="34"/>
      <c r="U145" s="34"/>
    </row>
    <row r="146" spans="1:21" s="1" customFormat="1" ht="18.75" customHeight="1">
      <c r="A146" s="11">
        <v>144</v>
      </c>
      <c r="B146" s="45" t="s">
        <v>193</v>
      </c>
      <c r="C146" s="34" t="s">
        <v>155</v>
      </c>
      <c r="D146" s="79"/>
      <c r="E146" s="28"/>
      <c r="F146" s="23"/>
      <c r="G146" s="24"/>
      <c r="H146" s="39"/>
      <c r="I146" s="39"/>
      <c r="J146" s="30">
        <v>7.5</v>
      </c>
      <c r="K146" s="16">
        <f t="shared" si="23"/>
        <v>60</v>
      </c>
      <c r="L146" s="17">
        <v>5</v>
      </c>
      <c r="M146" s="16">
        <f t="shared" si="24"/>
        <v>60</v>
      </c>
      <c r="N146" s="16">
        <f t="shared" si="25"/>
        <v>20</v>
      </c>
      <c r="O146" s="16">
        <f t="shared" si="26"/>
        <v>140</v>
      </c>
      <c r="P146" s="25"/>
      <c r="Q146" s="33">
        <v>28</v>
      </c>
      <c r="R146" s="23">
        <v>52</v>
      </c>
      <c r="S146" s="28">
        <v>40</v>
      </c>
      <c r="T146" s="34"/>
      <c r="U146" s="34"/>
    </row>
    <row r="147" spans="1:21" s="1" customFormat="1" ht="18.75" customHeight="1">
      <c r="A147" s="11">
        <v>145</v>
      </c>
      <c r="B147" s="45" t="s">
        <v>448</v>
      </c>
      <c r="C147" s="34" t="s">
        <v>155</v>
      </c>
      <c r="D147" s="79"/>
      <c r="E147" s="28"/>
      <c r="F147" s="23"/>
      <c r="G147" s="24"/>
      <c r="H147" s="39"/>
      <c r="I147" s="39"/>
      <c r="J147" s="30">
        <v>8</v>
      </c>
      <c r="K147" s="16">
        <f t="shared" si="23"/>
        <v>64</v>
      </c>
      <c r="L147" s="17">
        <v>11</v>
      </c>
      <c r="M147" s="16">
        <f t="shared" si="24"/>
        <v>132</v>
      </c>
      <c r="N147" s="16">
        <f t="shared" si="25"/>
        <v>44</v>
      </c>
      <c r="O147" s="16">
        <f t="shared" si="26"/>
        <v>240</v>
      </c>
      <c r="P147" s="25"/>
      <c r="Q147" s="33">
        <v>30</v>
      </c>
      <c r="R147" s="23">
        <v>76</v>
      </c>
      <c r="S147" s="28">
        <v>10</v>
      </c>
      <c r="T147" s="34"/>
      <c r="U147" s="34"/>
    </row>
    <row r="148" spans="1:21" s="1" customFormat="1" ht="18.75" customHeight="1">
      <c r="A148" s="11">
        <v>146</v>
      </c>
      <c r="B148" s="45" t="s">
        <v>500</v>
      </c>
      <c r="C148" s="34" t="s">
        <v>155</v>
      </c>
      <c r="D148" s="79" t="s">
        <v>499</v>
      </c>
      <c r="E148" s="28"/>
      <c r="F148" s="23"/>
      <c r="G148" s="24">
        <v>8</v>
      </c>
      <c r="H148" s="39"/>
      <c r="I148" s="39"/>
      <c r="J148" s="30">
        <v>0.5</v>
      </c>
      <c r="K148" s="16">
        <f t="shared" ref="K148" si="27">J148*8</f>
        <v>4</v>
      </c>
      <c r="L148" s="17">
        <v>1</v>
      </c>
      <c r="M148" s="16">
        <f t="shared" ref="M148" si="28">L148*12</f>
        <v>12</v>
      </c>
      <c r="N148" s="16">
        <f t="shared" ref="N148" si="29">L148*4</f>
        <v>4</v>
      </c>
      <c r="O148" s="16">
        <f t="shared" ref="O148" si="30">N148+M148+K148</f>
        <v>20</v>
      </c>
      <c r="P148" s="25"/>
      <c r="Q148" s="33"/>
      <c r="R148" s="23"/>
      <c r="S148" s="28"/>
      <c r="T148" s="34"/>
      <c r="U148" s="34"/>
    </row>
    <row r="149" spans="1:21" ht="18.75" customHeight="1">
      <c r="A149" s="11">
        <v>147</v>
      </c>
      <c r="B149" s="41" t="s">
        <v>194</v>
      </c>
      <c r="C149" s="34" t="s">
        <v>195</v>
      </c>
      <c r="D149" s="36"/>
      <c r="E149" s="28"/>
      <c r="F149" s="23"/>
      <c r="G149" s="24"/>
      <c r="H149" s="39"/>
      <c r="I149" s="39"/>
      <c r="J149" s="30">
        <v>8.5</v>
      </c>
      <c r="K149" s="16">
        <f t="shared" si="23"/>
        <v>68</v>
      </c>
      <c r="L149" s="17">
        <v>5</v>
      </c>
      <c r="M149" s="16">
        <f t="shared" si="24"/>
        <v>60</v>
      </c>
      <c r="N149" s="16">
        <f t="shared" si="25"/>
        <v>20</v>
      </c>
      <c r="O149" s="16">
        <f t="shared" si="26"/>
        <v>148</v>
      </c>
      <c r="P149" s="25">
        <v>16</v>
      </c>
      <c r="Q149" s="33"/>
      <c r="R149" s="23"/>
      <c r="S149" s="28"/>
      <c r="T149" s="34"/>
      <c r="U149" s="34"/>
    </row>
    <row r="150" spans="1:21" ht="18.75" customHeight="1">
      <c r="A150" s="11">
        <v>148</v>
      </c>
      <c r="B150" s="41" t="s">
        <v>196</v>
      </c>
      <c r="C150" s="34" t="s">
        <v>195</v>
      </c>
      <c r="D150" s="36"/>
      <c r="E150" s="28"/>
      <c r="F150" s="23"/>
      <c r="G150" s="24"/>
      <c r="H150" s="39"/>
      <c r="I150" s="39"/>
      <c r="J150" s="30">
        <v>5.5</v>
      </c>
      <c r="K150" s="16">
        <f t="shared" si="23"/>
        <v>44</v>
      </c>
      <c r="L150" s="17">
        <v>5</v>
      </c>
      <c r="M150" s="16">
        <f t="shared" si="24"/>
        <v>60</v>
      </c>
      <c r="N150" s="16">
        <f t="shared" si="25"/>
        <v>20</v>
      </c>
      <c r="O150" s="16">
        <f t="shared" si="26"/>
        <v>124</v>
      </c>
      <c r="P150" s="25"/>
      <c r="Q150" s="33">
        <v>36</v>
      </c>
      <c r="R150" s="23">
        <v>60</v>
      </c>
      <c r="S150" s="28"/>
      <c r="T150" s="34"/>
      <c r="U150" s="34"/>
    </row>
    <row r="151" spans="1:21" ht="18.75" customHeight="1">
      <c r="A151" s="11">
        <v>149</v>
      </c>
      <c r="B151" s="41" t="s">
        <v>197</v>
      </c>
      <c r="C151" s="34" t="s">
        <v>195</v>
      </c>
      <c r="D151" s="36"/>
      <c r="E151" s="28"/>
      <c r="F151" s="23"/>
      <c r="G151" s="24"/>
      <c r="H151" s="39"/>
      <c r="I151" s="39"/>
      <c r="J151" s="30">
        <v>9</v>
      </c>
      <c r="K151" s="16">
        <f t="shared" si="23"/>
        <v>72</v>
      </c>
      <c r="L151" s="17">
        <v>4</v>
      </c>
      <c r="M151" s="16">
        <f t="shared" si="24"/>
        <v>48</v>
      </c>
      <c r="N151" s="16">
        <f t="shared" si="25"/>
        <v>16</v>
      </c>
      <c r="O151" s="16">
        <f t="shared" si="26"/>
        <v>136</v>
      </c>
      <c r="P151" s="25"/>
      <c r="Q151" s="33">
        <v>36</v>
      </c>
      <c r="R151" s="23">
        <v>46</v>
      </c>
      <c r="S151" s="28"/>
      <c r="T151" s="34"/>
      <c r="U151" s="34"/>
    </row>
    <row r="152" spans="1:21" ht="18.75" customHeight="1">
      <c r="A152" s="11">
        <v>150</v>
      </c>
      <c r="B152" s="41" t="s">
        <v>198</v>
      </c>
      <c r="C152" s="34" t="s">
        <v>195</v>
      </c>
      <c r="D152" s="36"/>
      <c r="E152" s="28"/>
      <c r="F152" s="23"/>
      <c r="G152" s="24">
        <v>8</v>
      </c>
      <c r="H152" s="39"/>
      <c r="I152" s="39"/>
      <c r="J152" s="30">
        <v>6.5</v>
      </c>
      <c r="K152" s="16">
        <f t="shared" si="23"/>
        <v>52</v>
      </c>
      <c r="L152" s="17">
        <v>5</v>
      </c>
      <c r="M152" s="16">
        <f t="shared" si="24"/>
        <v>60</v>
      </c>
      <c r="N152" s="16">
        <f t="shared" si="25"/>
        <v>20</v>
      </c>
      <c r="O152" s="16">
        <f t="shared" si="26"/>
        <v>132</v>
      </c>
      <c r="P152" s="25"/>
      <c r="Q152" s="33"/>
      <c r="R152" s="23"/>
      <c r="S152" s="28"/>
      <c r="T152" s="34"/>
      <c r="U152" s="34"/>
    </row>
    <row r="153" spans="1:21" ht="18.75" customHeight="1">
      <c r="A153" s="11">
        <v>151</v>
      </c>
      <c r="B153" s="41" t="s">
        <v>199</v>
      </c>
      <c r="C153" s="34" t="s">
        <v>195</v>
      </c>
      <c r="D153" s="36"/>
      <c r="E153" s="28"/>
      <c r="F153" s="23"/>
      <c r="G153" s="24">
        <v>8</v>
      </c>
      <c r="H153" s="39"/>
      <c r="I153" s="39"/>
      <c r="J153" s="30">
        <v>7</v>
      </c>
      <c r="K153" s="16">
        <f t="shared" si="23"/>
        <v>56</v>
      </c>
      <c r="L153" s="17"/>
      <c r="M153" s="16"/>
      <c r="N153" s="16"/>
      <c r="O153" s="16">
        <f t="shared" si="26"/>
        <v>56</v>
      </c>
      <c r="P153" s="25"/>
      <c r="Q153" s="33"/>
      <c r="R153" s="23"/>
      <c r="S153" s="28"/>
      <c r="T153" s="34"/>
      <c r="U153" s="34"/>
    </row>
    <row r="154" spans="1:21" ht="18.75" customHeight="1">
      <c r="A154" s="11">
        <v>152</v>
      </c>
      <c r="B154" s="41" t="s">
        <v>200</v>
      </c>
      <c r="C154" s="34" t="s">
        <v>195</v>
      </c>
      <c r="D154" s="36"/>
      <c r="E154" s="28"/>
      <c r="F154" s="23"/>
      <c r="G154" s="24">
        <v>8</v>
      </c>
      <c r="H154" s="39"/>
      <c r="I154" s="39"/>
      <c r="J154" s="30">
        <v>2.5</v>
      </c>
      <c r="K154" s="16">
        <f t="shared" si="23"/>
        <v>20</v>
      </c>
      <c r="L154" s="17">
        <v>5</v>
      </c>
      <c r="M154" s="16">
        <f t="shared" si="24"/>
        <v>60</v>
      </c>
      <c r="N154" s="16">
        <f t="shared" si="25"/>
        <v>20</v>
      </c>
      <c r="O154" s="16">
        <f t="shared" si="26"/>
        <v>100</v>
      </c>
      <c r="P154" s="25"/>
      <c r="Q154" s="33"/>
      <c r="R154" s="23"/>
      <c r="S154" s="28"/>
      <c r="T154" s="34"/>
      <c r="U154" s="34"/>
    </row>
    <row r="155" spans="1:21" ht="18.75" customHeight="1">
      <c r="A155" s="11">
        <v>153</v>
      </c>
      <c r="B155" s="41" t="s">
        <v>201</v>
      </c>
      <c r="C155" s="34" t="s">
        <v>202</v>
      </c>
      <c r="D155" s="36"/>
      <c r="E155" s="28"/>
      <c r="F155" s="23"/>
      <c r="G155" s="24"/>
      <c r="H155" s="39"/>
      <c r="I155" s="39"/>
      <c r="J155" s="30">
        <v>3</v>
      </c>
      <c r="K155" s="16">
        <f t="shared" si="23"/>
        <v>24</v>
      </c>
      <c r="L155" s="17"/>
      <c r="M155" s="16"/>
      <c r="N155" s="16"/>
      <c r="O155" s="16">
        <f t="shared" si="26"/>
        <v>24</v>
      </c>
      <c r="P155" s="25"/>
      <c r="Q155" s="33">
        <v>34</v>
      </c>
      <c r="R155" s="23">
        <v>62</v>
      </c>
      <c r="S155" s="28"/>
      <c r="T155" s="34"/>
      <c r="U155" s="34"/>
    </row>
    <row r="156" spans="1:21" ht="18.75" customHeight="1">
      <c r="A156" s="11">
        <v>154</v>
      </c>
      <c r="B156" s="41" t="s">
        <v>203</v>
      </c>
      <c r="C156" s="34" t="s">
        <v>202</v>
      </c>
      <c r="D156" s="36"/>
      <c r="E156" s="28"/>
      <c r="F156" s="23"/>
      <c r="G156" s="24"/>
      <c r="H156" s="39"/>
      <c r="I156" s="39"/>
      <c r="J156" s="30">
        <v>9.5</v>
      </c>
      <c r="K156" s="16">
        <f t="shared" si="23"/>
        <v>76</v>
      </c>
      <c r="L156" s="17">
        <v>3</v>
      </c>
      <c r="M156" s="16">
        <f t="shared" si="24"/>
        <v>36</v>
      </c>
      <c r="N156" s="16">
        <f t="shared" si="25"/>
        <v>12</v>
      </c>
      <c r="O156" s="16">
        <f t="shared" si="26"/>
        <v>124</v>
      </c>
      <c r="P156" s="25"/>
      <c r="Q156" s="33">
        <v>32</v>
      </c>
      <c r="R156" s="23">
        <v>52</v>
      </c>
      <c r="S156" s="28">
        <v>20</v>
      </c>
      <c r="T156" s="34"/>
      <c r="U156" s="34"/>
    </row>
    <row r="157" spans="1:21" ht="18.75" customHeight="1">
      <c r="A157" s="11">
        <v>155</v>
      </c>
      <c r="B157" s="41" t="s">
        <v>204</v>
      </c>
      <c r="C157" s="34" t="s">
        <v>205</v>
      </c>
      <c r="D157" s="36"/>
      <c r="E157" s="28"/>
      <c r="F157" s="23"/>
      <c r="G157" s="24"/>
      <c r="H157" s="39"/>
      <c r="I157" s="39"/>
      <c r="J157" s="30">
        <v>6.5</v>
      </c>
      <c r="K157" s="16">
        <f t="shared" si="23"/>
        <v>52</v>
      </c>
      <c r="L157" s="17">
        <v>9</v>
      </c>
      <c r="M157" s="16">
        <f t="shared" si="24"/>
        <v>108</v>
      </c>
      <c r="N157" s="16">
        <f t="shared" si="25"/>
        <v>36</v>
      </c>
      <c r="O157" s="16">
        <f t="shared" si="26"/>
        <v>196</v>
      </c>
      <c r="P157" s="25"/>
      <c r="Q157" s="33"/>
      <c r="R157" s="23"/>
      <c r="S157" s="28"/>
      <c r="T157" s="34"/>
      <c r="U157" s="34"/>
    </row>
    <row r="158" spans="1:21" ht="18.75" customHeight="1">
      <c r="A158" s="11">
        <v>156</v>
      </c>
      <c r="B158" s="41" t="s">
        <v>206</v>
      </c>
      <c r="C158" s="34" t="s">
        <v>205</v>
      </c>
      <c r="D158" s="36"/>
      <c r="E158" s="28"/>
      <c r="F158" s="23"/>
      <c r="G158" s="24">
        <v>40</v>
      </c>
      <c r="H158" s="39"/>
      <c r="I158" s="39"/>
      <c r="J158" s="30">
        <v>10</v>
      </c>
      <c r="K158" s="16">
        <f t="shared" si="23"/>
        <v>80</v>
      </c>
      <c r="L158" s="17">
        <v>6</v>
      </c>
      <c r="M158" s="16">
        <f t="shared" si="24"/>
        <v>72</v>
      </c>
      <c r="N158" s="16">
        <f t="shared" si="25"/>
        <v>24</v>
      </c>
      <c r="O158" s="16">
        <f t="shared" si="26"/>
        <v>176</v>
      </c>
      <c r="P158" s="25"/>
      <c r="Q158" s="33"/>
      <c r="R158" s="23"/>
      <c r="S158" s="28"/>
      <c r="T158" s="34"/>
      <c r="U158" s="34"/>
    </row>
    <row r="159" spans="1:21" ht="18.75" customHeight="1">
      <c r="A159" s="11">
        <v>157</v>
      </c>
      <c r="B159" s="41" t="s">
        <v>207</v>
      </c>
      <c r="C159" s="34" t="s">
        <v>205</v>
      </c>
      <c r="D159" s="36"/>
      <c r="E159" s="28"/>
      <c r="F159" s="23"/>
      <c r="G159" s="24"/>
      <c r="H159" s="39"/>
      <c r="I159" s="39"/>
      <c r="J159" s="30">
        <v>2</v>
      </c>
      <c r="K159" s="16">
        <f t="shared" si="23"/>
        <v>16</v>
      </c>
      <c r="L159" s="17"/>
      <c r="M159" s="16"/>
      <c r="N159" s="16"/>
      <c r="O159" s="16">
        <f t="shared" si="26"/>
        <v>16</v>
      </c>
      <c r="P159" s="25">
        <v>34</v>
      </c>
      <c r="Q159" s="33"/>
      <c r="R159" s="23">
        <v>10</v>
      </c>
      <c r="S159" s="28"/>
      <c r="T159" s="34"/>
      <c r="U159" s="34"/>
    </row>
    <row r="160" spans="1:21" ht="18.75" customHeight="1">
      <c r="A160" s="11">
        <v>158</v>
      </c>
      <c r="B160" s="48" t="s">
        <v>208</v>
      </c>
      <c r="C160" s="19" t="s">
        <v>205</v>
      </c>
      <c r="D160" s="36"/>
      <c r="E160" s="28"/>
      <c r="F160" s="23"/>
      <c r="G160" s="25"/>
      <c r="H160" s="23"/>
      <c r="I160" s="23"/>
      <c r="J160" s="30">
        <v>6</v>
      </c>
      <c r="K160" s="16">
        <f t="shared" si="23"/>
        <v>48</v>
      </c>
      <c r="L160" s="17"/>
      <c r="M160" s="16"/>
      <c r="N160" s="16"/>
      <c r="O160" s="16">
        <f t="shared" si="26"/>
        <v>48</v>
      </c>
      <c r="P160" s="25"/>
      <c r="Q160" s="33"/>
      <c r="R160" s="23"/>
      <c r="S160" s="28"/>
      <c r="T160" s="34"/>
      <c r="U160" s="34"/>
    </row>
    <row r="161" spans="1:21" ht="18.75" customHeight="1">
      <c r="A161" s="11">
        <v>159</v>
      </c>
      <c r="B161" s="48" t="s">
        <v>209</v>
      </c>
      <c r="C161" s="19" t="s">
        <v>205</v>
      </c>
      <c r="D161" s="36"/>
      <c r="E161" s="28"/>
      <c r="F161" s="23"/>
      <c r="G161" s="25"/>
      <c r="H161" s="23"/>
      <c r="I161" s="23"/>
      <c r="J161" s="30">
        <v>10</v>
      </c>
      <c r="K161" s="16">
        <f t="shared" si="23"/>
        <v>80</v>
      </c>
      <c r="L161" s="17">
        <v>8</v>
      </c>
      <c r="M161" s="16">
        <f t="shared" si="24"/>
        <v>96</v>
      </c>
      <c r="N161" s="16">
        <f t="shared" si="25"/>
        <v>32</v>
      </c>
      <c r="O161" s="16">
        <f t="shared" si="26"/>
        <v>208</v>
      </c>
      <c r="P161" s="25"/>
      <c r="Q161" s="33"/>
      <c r="R161" s="23"/>
      <c r="S161" s="28"/>
      <c r="T161" s="34"/>
      <c r="U161" s="34"/>
    </row>
    <row r="162" spans="1:21" ht="18.75" customHeight="1">
      <c r="A162" s="11">
        <v>160</v>
      </c>
      <c r="B162" s="48" t="s">
        <v>210</v>
      </c>
      <c r="C162" s="19" t="s">
        <v>205</v>
      </c>
      <c r="D162" s="36" t="s">
        <v>522</v>
      </c>
      <c r="E162" s="28"/>
      <c r="F162" s="23"/>
      <c r="G162" s="25"/>
      <c r="H162" s="23"/>
      <c r="I162" s="23"/>
      <c r="J162" s="30">
        <v>7</v>
      </c>
      <c r="K162" s="16">
        <f t="shared" si="23"/>
        <v>56</v>
      </c>
      <c r="L162" s="17">
        <v>6</v>
      </c>
      <c r="M162" s="16">
        <f t="shared" si="24"/>
        <v>72</v>
      </c>
      <c r="N162" s="16">
        <f t="shared" si="25"/>
        <v>24</v>
      </c>
      <c r="O162" s="16">
        <f t="shared" si="26"/>
        <v>152</v>
      </c>
      <c r="P162" s="25"/>
      <c r="Q162" s="33">
        <v>31</v>
      </c>
      <c r="R162" s="23">
        <v>40</v>
      </c>
      <c r="S162" s="28">
        <v>20</v>
      </c>
      <c r="T162" s="34"/>
      <c r="U162" s="34"/>
    </row>
    <row r="163" spans="1:21" ht="18.75" customHeight="1">
      <c r="A163" s="11">
        <v>161</v>
      </c>
      <c r="B163" s="42" t="s">
        <v>213</v>
      </c>
      <c r="C163" s="19" t="s">
        <v>205</v>
      </c>
      <c r="D163" s="12" t="s">
        <v>516</v>
      </c>
      <c r="E163" s="28"/>
      <c r="F163" s="23">
        <v>98</v>
      </c>
      <c r="G163" s="25"/>
      <c r="H163" s="23"/>
      <c r="I163" s="23"/>
      <c r="J163" s="30">
        <v>4</v>
      </c>
      <c r="K163" s="16">
        <f t="shared" si="23"/>
        <v>32</v>
      </c>
      <c r="L163" s="17">
        <v>3</v>
      </c>
      <c r="M163" s="16">
        <f t="shared" si="24"/>
        <v>36</v>
      </c>
      <c r="N163" s="16">
        <f t="shared" si="25"/>
        <v>12</v>
      </c>
      <c r="O163" s="16">
        <f t="shared" si="26"/>
        <v>80</v>
      </c>
      <c r="P163" s="25"/>
      <c r="Q163" s="33"/>
      <c r="R163" s="23"/>
      <c r="S163" s="28"/>
      <c r="T163" s="34"/>
      <c r="U163" s="34"/>
    </row>
    <row r="164" spans="1:21" ht="18.75" customHeight="1">
      <c r="A164" s="11">
        <v>162</v>
      </c>
      <c r="B164" s="42" t="s">
        <v>214</v>
      </c>
      <c r="C164" s="19" t="s">
        <v>205</v>
      </c>
      <c r="D164" s="12"/>
      <c r="E164" s="28"/>
      <c r="F164" s="23"/>
      <c r="G164" s="25"/>
      <c r="H164" s="23"/>
      <c r="I164" s="23"/>
      <c r="J164" s="30">
        <v>8</v>
      </c>
      <c r="K164" s="16">
        <f t="shared" si="23"/>
        <v>64</v>
      </c>
      <c r="L164" s="17"/>
      <c r="M164" s="16"/>
      <c r="N164" s="16"/>
      <c r="O164" s="16">
        <f t="shared" si="26"/>
        <v>64</v>
      </c>
      <c r="P164" s="25"/>
      <c r="Q164" s="33">
        <v>28</v>
      </c>
      <c r="R164" s="23">
        <v>40</v>
      </c>
      <c r="S164" s="28">
        <v>20</v>
      </c>
      <c r="T164" s="34"/>
      <c r="U164" s="34"/>
    </row>
    <row r="165" spans="1:21" ht="18.75" customHeight="1">
      <c r="A165" s="11">
        <v>163</v>
      </c>
      <c r="B165" s="42" t="s">
        <v>215</v>
      </c>
      <c r="C165" s="19" t="s">
        <v>205</v>
      </c>
      <c r="D165" s="12"/>
      <c r="E165" s="28"/>
      <c r="F165" s="23"/>
      <c r="G165" s="25">
        <v>4</v>
      </c>
      <c r="H165" s="23"/>
      <c r="I165" s="23"/>
      <c r="J165" s="30">
        <v>6</v>
      </c>
      <c r="K165" s="16">
        <f t="shared" si="23"/>
        <v>48</v>
      </c>
      <c r="L165" s="17">
        <v>2</v>
      </c>
      <c r="M165" s="16">
        <f t="shared" si="24"/>
        <v>24</v>
      </c>
      <c r="N165" s="16">
        <f t="shared" si="25"/>
        <v>8</v>
      </c>
      <c r="O165" s="16">
        <f t="shared" si="26"/>
        <v>80</v>
      </c>
      <c r="P165" s="25"/>
      <c r="Q165" s="33">
        <v>3</v>
      </c>
      <c r="R165" s="23">
        <v>56</v>
      </c>
      <c r="S165" s="28"/>
      <c r="T165" s="34"/>
      <c r="U165" s="34"/>
    </row>
    <row r="166" spans="1:21" ht="18.75" customHeight="1">
      <c r="A166" s="11">
        <v>164</v>
      </c>
      <c r="B166" s="42" t="s">
        <v>216</v>
      </c>
      <c r="C166" s="19" t="s">
        <v>205</v>
      </c>
      <c r="D166" s="12" t="s">
        <v>508</v>
      </c>
      <c r="E166" s="28"/>
      <c r="F166" s="23">
        <v>25.5</v>
      </c>
      <c r="G166" s="25">
        <v>91</v>
      </c>
      <c r="H166" s="23"/>
      <c r="I166" s="23"/>
      <c r="J166" s="30">
        <v>6.5</v>
      </c>
      <c r="K166" s="16">
        <f t="shared" si="23"/>
        <v>52</v>
      </c>
      <c r="L166" s="17">
        <v>3</v>
      </c>
      <c r="M166" s="16">
        <f t="shared" si="24"/>
        <v>36</v>
      </c>
      <c r="N166" s="16">
        <f t="shared" si="25"/>
        <v>12</v>
      </c>
      <c r="O166" s="16">
        <f t="shared" si="26"/>
        <v>100</v>
      </c>
      <c r="P166" s="25"/>
      <c r="Q166" s="33"/>
      <c r="R166" s="23"/>
      <c r="S166" s="28"/>
      <c r="T166" s="34"/>
      <c r="U166" s="34"/>
    </row>
    <row r="167" spans="1:21" ht="18.75" customHeight="1">
      <c r="A167" s="11">
        <v>165</v>
      </c>
      <c r="B167" s="19" t="s">
        <v>217</v>
      </c>
      <c r="C167" s="19" t="s">
        <v>205</v>
      </c>
      <c r="D167" s="21"/>
      <c r="E167" s="28"/>
      <c r="F167" s="23"/>
      <c r="G167" s="25">
        <v>8</v>
      </c>
      <c r="H167" s="23"/>
      <c r="I167" s="23"/>
      <c r="J167" s="30">
        <v>3.5</v>
      </c>
      <c r="K167" s="16">
        <f t="shared" si="23"/>
        <v>28</v>
      </c>
      <c r="L167" s="17">
        <v>5</v>
      </c>
      <c r="M167" s="16">
        <f t="shared" si="24"/>
        <v>60</v>
      </c>
      <c r="N167" s="16">
        <f t="shared" si="25"/>
        <v>20</v>
      </c>
      <c r="O167" s="16">
        <f t="shared" si="26"/>
        <v>108</v>
      </c>
      <c r="P167" s="25">
        <v>28</v>
      </c>
      <c r="Q167" s="33"/>
      <c r="R167" s="23"/>
      <c r="S167" s="28"/>
      <c r="T167" s="34"/>
      <c r="U167" s="34"/>
    </row>
    <row r="168" spans="1:21" ht="18.75" customHeight="1">
      <c r="A168" s="11">
        <v>166</v>
      </c>
      <c r="B168" s="19" t="s">
        <v>218</v>
      </c>
      <c r="C168" s="19" t="s">
        <v>205</v>
      </c>
      <c r="D168" s="21"/>
      <c r="E168" s="28"/>
      <c r="F168" s="23"/>
      <c r="G168" s="25"/>
      <c r="H168" s="23"/>
      <c r="I168" s="23"/>
      <c r="J168" s="30">
        <v>3.5</v>
      </c>
      <c r="K168" s="16">
        <f t="shared" si="23"/>
        <v>28</v>
      </c>
      <c r="L168" s="17">
        <v>5</v>
      </c>
      <c r="M168" s="16">
        <f t="shared" si="24"/>
        <v>60</v>
      </c>
      <c r="N168" s="16">
        <f t="shared" si="25"/>
        <v>20</v>
      </c>
      <c r="O168" s="16">
        <f t="shared" si="26"/>
        <v>108</v>
      </c>
      <c r="P168" s="25"/>
      <c r="Q168" s="33">
        <v>36</v>
      </c>
      <c r="R168" s="23">
        <v>60</v>
      </c>
      <c r="S168" s="28"/>
      <c r="T168" s="34"/>
      <c r="U168" s="34"/>
    </row>
    <row r="169" spans="1:21" ht="18.75" customHeight="1">
      <c r="A169" s="11">
        <v>167</v>
      </c>
      <c r="B169" s="19" t="s">
        <v>219</v>
      </c>
      <c r="C169" s="19" t="s">
        <v>205</v>
      </c>
      <c r="D169" s="21"/>
      <c r="E169" s="28"/>
      <c r="F169" s="23"/>
      <c r="G169" s="25"/>
      <c r="H169" s="23"/>
      <c r="I169" s="23"/>
      <c r="J169" s="30">
        <v>2</v>
      </c>
      <c r="K169" s="16">
        <f t="shared" si="23"/>
        <v>16</v>
      </c>
      <c r="L169" s="17"/>
      <c r="M169" s="16"/>
      <c r="N169" s="16"/>
      <c r="O169" s="16">
        <f t="shared" si="26"/>
        <v>16</v>
      </c>
      <c r="P169" s="25"/>
      <c r="Q169" s="33">
        <v>13</v>
      </c>
      <c r="R169" s="23">
        <v>64</v>
      </c>
      <c r="S169" s="28"/>
      <c r="T169" s="34"/>
      <c r="U169" s="34"/>
    </row>
    <row r="170" spans="1:21" ht="18.75" customHeight="1">
      <c r="A170" s="11">
        <v>168</v>
      </c>
      <c r="B170" s="19" t="s">
        <v>220</v>
      </c>
      <c r="C170" s="19" t="s">
        <v>205</v>
      </c>
      <c r="D170" s="21"/>
      <c r="E170" s="28"/>
      <c r="F170" s="23"/>
      <c r="G170" s="25">
        <v>8</v>
      </c>
      <c r="H170" s="23"/>
      <c r="I170" s="23"/>
      <c r="J170" s="30">
        <v>3.5</v>
      </c>
      <c r="K170" s="16">
        <f t="shared" si="23"/>
        <v>28</v>
      </c>
      <c r="L170" s="17">
        <v>5</v>
      </c>
      <c r="M170" s="16">
        <f t="shared" si="24"/>
        <v>60</v>
      </c>
      <c r="N170" s="16">
        <f t="shared" si="25"/>
        <v>20</v>
      </c>
      <c r="O170" s="16">
        <f t="shared" si="26"/>
        <v>108</v>
      </c>
      <c r="P170" s="25"/>
      <c r="Q170" s="33"/>
      <c r="R170" s="23"/>
      <c r="S170" s="28"/>
      <c r="T170" s="34"/>
      <c r="U170" s="34"/>
    </row>
    <row r="171" spans="1:21" ht="18.75" customHeight="1">
      <c r="A171" s="11">
        <v>169</v>
      </c>
      <c r="B171" s="19" t="s">
        <v>221</v>
      </c>
      <c r="C171" s="19" t="s">
        <v>205</v>
      </c>
      <c r="D171" s="21" t="s">
        <v>514</v>
      </c>
      <c r="E171" s="28"/>
      <c r="F171" s="23">
        <v>118.5</v>
      </c>
      <c r="G171" s="25">
        <v>30</v>
      </c>
      <c r="H171" s="23"/>
      <c r="I171" s="23"/>
      <c r="J171" s="30"/>
      <c r="K171" s="16"/>
      <c r="L171" s="17"/>
      <c r="M171" s="16"/>
      <c r="N171" s="16"/>
      <c r="O171" s="16"/>
      <c r="P171" s="25"/>
      <c r="Q171" s="33"/>
      <c r="R171" s="23"/>
      <c r="S171" s="28"/>
      <c r="T171" s="34"/>
      <c r="U171" s="34"/>
    </row>
    <row r="172" spans="1:21" ht="18.75" customHeight="1">
      <c r="A172" s="11">
        <v>170</v>
      </c>
      <c r="B172" s="19" t="s">
        <v>222</v>
      </c>
      <c r="C172" s="19" t="s">
        <v>205</v>
      </c>
      <c r="D172" s="36"/>
      <c r="E172" s="28"/>
      <c r="F172" s="23"/>
      <c r="G172" s="25"/>
      <c r="H172" s="23"/>
      <c r="I172" s="23"/>
      <c r="J172" s="30">
        <v>6</v>
      </c>
      <c r="K172" s="16">
        <f t="shared" si="23"/>
        <v>48</v>
      </c>
      <c r="L172" s="17">
        <v>2</v>
      </c>
      <c r="M172" s="16">
        <f t="shared" si="24"/>
        <v>24</v>
      </c>
      <c r="N172" s="16">
        <f t="shared" si="25"/>
        <v>8</v>
      </c>
      <c r="O172" s="16">
        <f t="shared" si="26"/>
        <v>80</v>
      </c>
      <c r="P172" s="25"/>
      <c r="Q172" s="33"/>
      <c r="R172" s="23"/>
      <c r="S172" s="28"/>
      <c r="T172" s="34"/>
      <c r="U172" s="34"/>
    </row>
    <row r="173" spans="1:21" ht="18.75" customHeight="1">
      <c r="A173" s="11">
        <v>171</v>
      </c>
      <c r="B173" s="19" t="s">
        <v>223</v>
      </c>
      <c r="C173" s="19" t="s">
        <v>205</v>
      </c>
      <c r="D173" s="36" t="s">
        <v>515</v>
      </c>
      <c r="E173" s="28"/>
      <c r="F173" s="23"/>
      <c r="G173" s="25"/>
      <c r="H173" s="23"/>
      <c r="I173" s="23"/>
      <c r="J173" s="30"/>
      <c r="K173" s="16"/>
      <c r="L173" s="17"/>
      <c r="M173" s="16"/>
      <c r="N173" s="16"/>
      <c r="O173" s="16"/>
      <c r="P173" s="25"/>
      <c r="Q173" s="33"/>
      <c r="R173" s="23"/>
      <c r="S173" s="28"/>
      <c r="T173" s="34"/>
      <c r="U173" s="34"/>
    </row>
    <row r="174" spans="1:21" ht="18.75" customHeight="1">
      <c r="A174" s="11">
        <v>172</v>
      </c>
      <c r="B174" s="11" t="s">
        <v>224</v>
      </c>
      <c r="C174" s="19" t="s">
        <v>205</v>
      </c>
      <c r="D174" s="12" t="s">
        <v>517</v>
      </c>
      <c r="E174" s="13"/>
      <c r="F174" s="23">
        <v>11</v>
      </c>
      <c r="G174" s="14">
        <v>15</v>
      </c>
      <c r="H174" s="13"/>
      <c r="I174" s="13"/>
      <c r="J174" s="30">
        <v>2</v>
      </c>
      <c r="K174" s="16">
        <f t="shared" si="23"/>
        <v>16</v>
      </c>
      <c r="L174" s="17">
        <v>4</v>
      </c>
      <c r="M174" s="16">
        <f t="shared" si="24"/>
        <v>48</v>
      </c>
      <c r="N174" s="16">
        <f t="shared" si="25"/>
        <v>16</v>
      </c>
      <c r="O174" s="16">
        <f t="shared" si="26"/>
        <v>80</v>
      </c>
      <c r="P174" s="25"/>
      <c r="Q174" s="33"/>
      <c r="R174" s="23"/>
      <c r="S174" s="28"/>
      <c r="T174" s="34"/>
      <c r="U174" s="11"/>
    </row>
    <row r="175" spans="1:21" ht="18.75" customHeight="1">
      <c r="A175" s="11">
        <v>173</v>
      </c>
      <c r="B175" s="19" t="s">
        <v>225</v>
      </c>
      <c r="C175" s="19" t="s">
        <v>205</v>
      </c>
      <c r="D175" s="21"/>
      <c r="E175" s="28"/>
      <c r="F175" s="23"/>
      <c r="G175" s="24"/>
      <c r="H175" s="39"/>
      <c r="I175" s="39"/>
      <c r="J175" s="30"/>
      <c r="K175" s="16"/>
      <c r="L175" s="17"/>
      <c r="M175" s="16"/>
      <c r="N175" s="16"/>
      <c r="O175" s="16"/>
      <c r="P175" s="25"/>
      <c r="Q175" s="33">
        <v>13</v>
      </c>
      <c r="R175" s="23">
        <v>68</v>
      </c>
      <c r="S175" s="28"/>
      <c r="T175" s="34"/>
      <c r="U175" s="34"/>
    </row>
    <row r="176" spans="1:21" ht="18.75" customHeight="1">
      <c r="A176" s="11">
        <v>174</v>
      </c>
      <c r="B176" s="19" t="s">
        <v>226</v>
      </c>
      <c r="C176" s="19" t="s">
        <v>205</v>
      </c>
      <c r="D176" s="21"/>
      <c r="E176" s="91"/>
      <c r="F176" s="17"/>
      <c r="G176" s="24"/>
      <c r="H176" s="91"/>
      <c r="I176" s="91"/>
      <c r="J176" s="30">
        <v>5</v>
      </c>
      <c r="K176" s="16">
        <f t="shared" si="23"/>
        <v>40</v>
      </c>
      <c r="L176" s="17">
        <v>5</v>
      </c>
      <c r="M176" s="16">
        <f t="shared" si="24"/>
        <v>60</v>
      </c>
      <c r="N176" s="16">
        <f t="shared" si="25"/>
        <v>20</v>
      </c>
      <c r="O176" s="16">
        <f t="shared" si="26"/>
        <v>120</v>
      </c>
      <c r="P176" s="25"/>
      <c r="Q176" s="33"/>
      <c r="R176" s="23"/>
      <c r="S176" s="28"/>
      <c r="T176" s="34"/>
      <c r="U176" s="23"/>
    </row>
    <row r="177" spans="1:21" ht="18.75" customHeight="1">
      <c r="A177" s="11">
        <v>175</v>
      </c>
      <c r="B177" s="19" t="s">
        <v>227</v>
      </c>
      <c r="C177" s="19" t="s">
        <v>205</v>
      </c>
      <c r="D177" s="21"/>
      <c r="E177" s="91"/>
      <c r="F177" s="17"/>
      <c r="G177" s="24"/>
      <c r="H177" s="91"/>
      <c r="I177" s="91"/>
      <c r="J177" s="30">
        <v>8.5</v>
      </c>
      <c r="K177" s="16">
        <f t="shared" si="23"/>
        <v>68</v>
      </c>
      <c r="L177" s="17">
        <v>5</v>
      </c>
      <c r="M177" s="16">
        <f t="shared" si="24"/>
        <v>60</v>
      </c>
      <c r="N177" s="16">
        <f t="shared" si="25"/>
        <v>20</v>
      </c>
      <c r="O177" s="16">
        <f t="shared" si="26"/>
        <v>148</v>
      </c>
      <c r="P177" s="25"/>
      <c r="Q177" s="33"/>
      <c r="R177" s="23"/>
      <c r="S177" s="28"/>
      <c r="T177" s="34"/>
      <c r="U177" s="23"/>
    </row>
    <row r="178" spans="1:21" ht="18.75" customHeight="1">
      <c r="A178" s="11">
        <v>176</v>
      </c>
      <c r="B178" s="19" t="s">
        <v>228</v>
      </c>
      <c r="C178" s="19" t="s">
        <v>205</v>
      </c>
      <c r="D178" s="43"/>
      <c r="E178" s="91"/>
      <c r="F178" s="23"/>
      <c r="G178" s="24">
        <v>8</v>
      </c>
      <c r="H178" s="91"/>
      <c r="I178" s="91"/>
      <c r="J178" s="30">
        <v>8</v>
      </c>
      <c r="K178" s="16">
        <f t="shared" si="23"/>
        <v>64</v>
      </c>
      <c r="L178" s="17">
        <v>2</v>
      </c>
      <c r="M178" s="16">
        <f t="shared" si="24"/>
        <v>24</v>
      </c>
      <c r="N178" s="16">
        <f t="shared" si="25"/>
        <v>8</v>
      </c>
      <c r="O178" s="16">
        <f t="shared" si="26"/>
        <v>96</v>
      </c>
      <c r="P178" s="25">
        <v>12</v>
      </c>
      <c r="Q178" s="33"/>
      <c r="R178" s="23"/>
      <c r="S178" s="28"/>
      <c r="T178" s="34"/>
      <c r="U178" s="23"/>
    </row>
    <row r="179" spans="1:21" ht="18.75" customHeight="1">
      <c r="A179" s="11">
        <v>177</v>
      </c>
      <c r="B179" s="19" t="s">
        <v>229</v>
      </c>
      <c r="C179" s="19" t="s">
        <v>205</v>
      </c>
      <c r="D179" s="43"/>
      <c r="E179" s="91"/>
      <c r="F179" s="23"/>
      <c r="G179" s="24"/>
      <c r="H179" s="91"/>
      <c r="I179" s="91"/>
      <c r="J179" s="30">
        <v>9</v>
      </c>
      <c r="K179" s="16">
        <f t="shared" si="23"/>
        <v>72</v>
      </c>
      <c r="L179" s="17">
        <v>8</v>
      </c>
      <c r="M179" s="16">
        <f t="shared" si="24"/>
        <v>96</v>
      </c>
      <c r="N179" s="16">
        <f t="shared" si="25"/>
        <v>32</v>
      </c>
      <c r="O179" s="16">
        <f t="shared" si="26"/>
        <v>200</v>
      </c>
      <c r="P179" s="25"/>
      <c r="Q179" s="33">
        <v>27</v>
      </c>
      <c r="R179" s="23">
        <v>48</v>
      </c>
      <c r="S179" s="28">
        <v>20</v>
      </c>
      <c r="T179" s="34"/>
      <c r="U179" s="23"/>
    </row>
    <row r="180" spans="1:21" ht="18.75" customHeight="1">
      <c r="A180" s="11">
        <v>178</v>
      </c>
      <c r="B180" s="19" t="s">
        <v>230</v>
      </c>
      <c r="C180" s="19" t="s">
        <v>205</v>
      </c>
      <c r="D180" s="43"/>
      <c r="E180" s="91"/>
      <c r="F180" s="23"/>
      <c r="G180" s="24">
        <v>6</v>
      </c>
      <c r="H180" s="91"/>
      <c r="I180" s="91"/>
      <c r="J180" s="30">
        <v>9</v>
      </c>
      <c r="K180" s="16">
        <f t="shared" si="23"/>
        <v>72</v>
      </c>
      <c r="L180" s="17">
        <v>8</v>
      </c>
      <c r="M180" s="16">
        <f t="shared" si="24"/>
        <v>96</v>
      </c>
      <c r="N180" s="16">
        <f t="shared" si="25"/>
        <v>32</v>
      </c>
      <c r="O180" s="16">
        <f t="shared" si="26"/>
        <v>200</v>
      </c>
      <c r="P180" s="25"/>
      <c r="Q180" s="33">
        <v>32</v>
      </c>
      <c r="R180" s="23">
        <v>40</v>
      </c>
      <c r="S180" s="28">
        <v>20</v>
      </c>
      <c r="T180" s="34"/>
      <c r="U180" s="23"/>
    </row>
    <row r="181" spans="1:21" ht="18.75" customHeight="1">
      <c r="A181" s="11">
        <v>179</v>
      </c>
      <c r="B181" s="19" t="s">
        <v>231</v>
      </c>
      <c r="C181" s="19" t="s">
        <v>205</v>
      </c>
      <c r="D181" s="43"/>
      <c r="E181" s="91"/>
      <c r="F181" s="23"/>
      <c r="G181" s="24"/>
      <c r="H181" s="91"/>
      <c r="I181" s="91"/>
      <c r="J181" s="30">
        <v>8</v>
      </c>
      <c r="K181" s="16">
        <f t="shared" si="23"/>
        <v>64</v>
      </c>
      <c r="L181" s="17">
        <v>4</v>
      </c>
      <c r="M181" s="16">
        <f t="shared" si="24"/>
        <v>48</v>
      </c>
      <c r="N181" s="16">
        <f t="shared" si="25"/>
        <v>16</v>
      </c>
      <c r="O181" s="16">
        <f t="shared" si="26"/>
        <v>128</v>
      </c>
      <c r="P181" s="25"/>
      <c r="Q181" s="33">
        <v>30</v>
      </c>
      <c r="R181" s="23">
        <v>44</v>
      </c>
      <c r="S181" s="28">
        <v>10</v>
      </c>
      <c r="T181" s="34"/>
      <c r="U181" s="23"/>
    </row>
    <row r="182" spans="1:21" s="1" customFormat="1" ht="18.75" customHeight="1">
      <c r="A182" s="11">
        <v>180</v>
      </c>
      <c r="B182" s="42" t="s">
        <v>232</v>
      </c>
      <c r="C182" s="19" t="s">
        <v>205</v>
      </c>
      <c r="D182" s="43"/>
      <c r="E182" s="28"/>
      <c r="F182" s="23"/>
      <c r="G182" s="24"/>
      <c r="H182" s="39"/>
      <c r="I182" s="39"/>
      <c r="J182" s="30">
        <v>4</v>
      </c>
      <c r="K182" s="16">
        <f t="shared" si="23"/>
        <v>32</v>
      </c>
      <c r="L182" s="17">
        <v>6</v>
      </c>
      <c r="M182" s="16">
        <f t="shared" si="24"/>
        <v>72</v>
      </c>
      <c r="N182" s="16">
        <f t="shared" si="25"/>
        <v>24</v>
      </c>
      <c r="O182" s="16">
        <f t="shared" si="26"/>
        <v>128</v>
      </c>
      <c r="P182" s="25"/>
      <c r="Q182" s="33"/>
      <c r="R182" s="23"/>
      <c r="S182" s="28"/>
      <c r="T182" s="34"/>
      <c r="U182" s="34"/>
    </row>
    <row r="183" spans="1:21" ht="18.75" customHeight="1">
      <c r="A183" s="11">
        <v>181</v>
      </c>
      <c r="B183" s="42" t="s">
        <v>233</v>
      </c>
      <c r="C183" s="19" t="s">
        <v>205</v>
      </c>
      <c r="D183" s="43"/>
      <c r="E183" s="28"/>
      <c r="F183" s="23"/>
      <c r="G183" s="24"/>
      <c r="H183" s="39"/>
      <c r="I183" s="39"/>
      <c r="J183" s="30">
        <v>9.5</v>
      </c>
      <c r="K183" s="16">
        <f t="shared" si="23"/>
        <v>76</v>
      </c>
      <c r="L183" s="17">
        <v>5</v>
      </c>
      <c r="M183" s="16">
        <f t="shared" si="24"/>
        <v>60</v>
      </c>
      <c r="N183" s="16">
        <f t="shared" si="25"/>
        <v>20</v>
      </c>
      <c r="O183" s="16">
        <f t="shared" si="26"/>
        <v>156</v>
      </c>
      <c r="P183" s="25">
        <v>26</v>
      </c>
      <c r="Q183" s="33"/>
      <c r="R183" s="23"/>
      <c r="S183" s="28"/>
      <c r="T183" s="34"/>
      <c r="U183" s="34"/>
    </row>
    <row r="184" spans="1:21" ht="18.75" customHeight="1">
      <c r="A184" s="11">
        <v>182</v>
      </c>
      <c r="B184" s="42" t="s">
        <v>501</v>
      </c>
      <c r="C184" s="19" t="s">
        <v>205</v>
      </c>
      <c r="D184" s="43" t="s">
        <v>504</v>
      </c>
      <c r="E184" s="28"/>
      <c r="F184" s="23"/>
      <c r="G184" s="24"/>
      <c r="H184" s="39"/>
      <c r="I184" s="39"/>
      <c r="J184" s="30"/>
      <c r="K184" s="16"/>
      <c r="L184" s="17"/>
      <c r="M184" s="16"/>
      <c r="N184" s="16"/>
      <c r="O184" s="16"/>
      <c r="P184" s="25"/>
      <c r="Q184" s="33">
        <v>8</v>
      </c>
      <c r="R184" s="23">
        <v>35</v>
      </c>
      <c r="S184" s="28"/>
      <c r="T184" s="34"/>
      <c r="U184" s="34"/>
    </row>
    <row r="185" spans="1:21" ht="18.75" customHeight="1">
      <c r="A185" s="11">
        <v>183</v>
      </c>
      <c r="B185" s="42" t="s">
        <v>502</v>
      </c>
      <c r="C185" s="19" t="s">
        <v>205</v>
      </c>
      <c r="D185" s="43" t="s">
        <v>505</v>
      </c>
      <c r="E185" s="28"/>
      <c r="F185" s="23"/>
      <c r="G185" s="24">
        <v>4</v>
      </c>
      <c r="H185" s="39"/>
      <c r="I185" s="39"/>
      <c r="J185" s="30"/>
      <c r="K185" s="16"/>
      <c r="L185" s="17"/>
      <c r="M185" s="16"/>
      <c r="N185" s="16"/>
      <c r="O185" s="16"/>
      <c r="P185" s="25">
        <v>8</v>
      </c>
      <c r="Q185" s="33"/>
      <c r="R185" s="23"/>
      <c r="S185" s="28"/>
      <c r="T185" s="34"/>
      <c r="U185" s="34"/>
    </row>
    <row r="186" spans="1:21" ht="18.75" customHeight="1">
      <c r="A186" s="11">
        <v>184</v>
      </c>
      <c r="B186" s="42" t="s">
        <v>503</v>
      </c>
      <c r="C186" s="19" t="s">
        <v>205</v>
      </c>
      <c r="D186" s="43" t="s">
        <v>506</v>
      </c>
      <c r="E186" s="28"/>
      <c r="F186" s="23"/>
      <c r="G186" s="24"/>
      <c r="H186" s="39"/>
      <c r="I186" s="39"/>
      <c r="J186" s="30"/>
      <c r="K186" s="16"/>
      <c r="L186" s="17">
        <v>2</v>
      </c>
      <c r="M186" s="16">
        <f t="shared" ref="M184:M186" si="31">L186*12</f>
        <v>24</v>
      </c>
      <c r="N186" s="16">
        <f t="shared" ref="N184:N186" si="32">L186*4</f>
        <v>8</v>
      </c>
      <c r="O186" s="16">
        <f t="shared" ref="O184:O186" si="33">N186+M186+K186</f>
        <v>32</v>
      </c>
      <c r="P186" s="25"/>
      <c r="Q186" s="33"/>
      <c r="R186" s="23"/>
      <c r="S186" s="28"/>
      <c r="T186" s="34"/>
      <c r="U186" s="34"/>
    </row>
  </sheetData>
  <mergeCells count="1">
    <mergeCell ref="A1:U1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W185"/>
  <sheetViews>
    <sheetView workbookViewId="0">
      <pane xSplit="2" ySplit="2" topLeftCell="C151" activePane="bottomRight" state="frozenSplit"/>
      <selection pane="topRight" activeCell="L1" sqref="L1"/>
      <selection pane="bottomLeft" activeCell="A9" sqref="A9"/>
      <selection pane="bottomRight" activeCell="O157" sqref="O157"/>
    </sheetView>
  </sheetViews>
  <sheetFormatPr defaultRowHeight="19.5" customHeight="1"/>
  <cols>
    <col min="1" max="1" width="4.375" style="1" customWidth="1"/>
    <col min="2" max="2" width="9.125" style="1" customWidth="1"/>
    <col min="3" max="3" width="11.875" style="70" customWidth="1"/>
    <col min="4" max="5" width="6.75" style="69" customWidth="1"/>
    <col min="6" max="6" width="6.625" style="75" customWidth="1"/>
    <col min="7" max="7" width="5.875" style="69" customWidth="1"/>
    <col min="8" max="8" width="9.25" style="69" customWidth="1"/>
    <col min="9" max="9" width="6.625" style="78" customWidth="1"/>
    <col min="10" max="10" width="9" style="1" customWidth="1"/>
    <col min="11" max="11" width="6.5" style="69" customWidth="1"/>
    <col min="12" max="13" width="9" style="1" customWidth="1"/>
    <col min="14" max="14" width="8" style="1" customWidth="1"/>
    <col min="15" max="16" width="8.625" style="76" customWidth="1"/>
    <col min="17" max="18" width="8.625" style="77" customWidth="1"/>
    <col min="19" max="19" width="8.625" style="69" customWidth="1"/>
    <col min="20" max="16384" width="9" style="1"/>
  </cols>
  <sheetData>
    <row r="1" spans="1:21" ht="30" customHeight="1">
      <c r="A1" s="98" t="s">
        <v>493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</row>
    <row r="2" spans="1:21" ht="28.5" customHeight="1">
      <c r="A2" s="34" t="s">
        <v>234</v>
      </c>
      <c r="B2" s="34" t="s">
        <v>1</v>
      </c>
      <c r="C2" s="54" t="s">
        <v>235</v>
      </c>
      <c r="D2" s="4" t="s">
        <v>4</v>
      </c>
      <c r="E2" s="5" t="s">
        <v>5</v>
      </c>
      <c r="F2" s="6" t="s">
        <v>236</v>
      </c>
      <c r="G2" s="4" t="s">
        <v>7</v>
      </c>
      <c r="H2" s="55" t="s">
        <v>8</v>
      </c>
      <c r="I2" s="56" t="s">
        <v>9</v>
      </c>
      <c r="J2" s="16" t="s">
        <v>10</v>
      </c>
      <c r="K2" s="55" t="s">
        <v>11</v>
      </c>
      <c r="L2" s="57" t="s">
        <v>12</v>
      </c>
      <c r="M2" s="57" t="s">
        <v>13</v>
      </c>
      <c r="N2" s="57" t="s">
        <v>14</v>
      </c>
      <c r="O2" s="58" t="s">
        <v>15</v>
      </c>
      <c r="P2" s="58" t="s">
        <v>16</v>
      </c>
      <c r="Q2" s="59" t="s">
        <v>17</v>
      </c>
      <c r="R2" s="59" t="s">
        <v>18</v>
      </c>
      <c r="S2" s="60" t="s">
        <v>19</v>
      </c>
      <c r="T2" s="32" t="s">
        <v>20</v>
      </c>
    </row>
    <row r="3" spans="1:21" ht="19.5" customHeight="1">
      <c r="A3" s="34">
        <v>1</v>
      </c>
      <c r="B3" s="34" t="s">
        <v>237</v>
      </c>
      <c r="C3" s="54"/>
      <c r="D3" s="28"/>
      <c r="E3" s="28"/>
      <c r="F3" s="25"/>
      <c r="G3" s="28"/>
      <c r="H3" s="28"/>
      <c r="I3" s="61"/>
      <c r="J3" s="62"/>
      <c r="K3" s="28"/>
      <c r="L3" s="62"/>
      <c r="M3" s="62"/>
      <c r="N3" s="62"/>
      <c r="O3" s="25"/>
      <c r="P3" s="25"/>
      <c r="Q3" s="23"/>
      <c r="R3" s="23"/>
      <c r="S3" s="23"/>
      <c r="T3" s="32"/>
    </row>
    <row r="4" spans="1:21" ht="19.5" customHeight="1">
      <c r="A4" s="63" t="s">
        <v>238</v>
      </c>
      <c r="B4" s="64"/>
      <c r="C4" s="65"/>
      <c r="D4" s="28"/>
      <c r="E4" s="28"/>
      <c r="F4" s="25"/>
      <c r="G4" s="28"/>
      <c r="H4" s="28"/>
      <c r="I4" s="61"/>
      <c r="J4" s="62"/>
      <c r="K4" s="28"/>
      <c r="L4" s="62"/>
      <c r="M4" s="62"/>
      <c r="N4" s="62"/>
      <c r="O4" s="25"/>
      <c r="P4" s="25"/>
      <c r="Q4" s="23"/>
      <c r="R4" s="23"/>
      <c r="S4" s="23"/>
      <c r="T4" s="32"/>
    </row>
    <row r="5" spans="1:21" ht="19.5" customHeight="1">
      <c r="A5" s="34">
        <v>1</v>
      </c>
      <c r="B5" s="34" t="s">
        <v>239</v>
      </c>
      <c r="C5" s="54"/>
      <c r="D5" s="28"/>
      <c r="E5" s="28"/>
      <c r="F5" s="25"/>
      <c r="G5" s="28"/>
      <c r="H5" s="28"/>
      <c r="I5" s="61"/>
      <c r="J5" s="62"/>
      <c r="K5" s="28"/>
      <c r="L5" s="62"/>
      <c r="M5" s="62"/>
      <c r="N5" s="62"/>
      <c r="O5" s="25"/>
      <c r="P5" s="25"/>
      <c r="Q5" s="23"/>
      <c r="R5" s="23"/>
      <c r="S5" s="23"/>
      <c r="T5" s="32"/>
    </row>
    <row r="6" spans="1:21" ht="19.5" customHeight="1">
      <c r="A6" s="34">
        <v>2</v>
      </c>
      <c r="B6" s="34" t="s">
        <v>240</v>
      </c>
      <c r="C6" s="66"/>
      <c r="D6" s="28"/>
      <c r="E6" s="28"/>
      <c r="F6" s="25"/>
      <c r="G6" s="28"/>
      <c r="H6" s="28"/>
      <c r="I6" s="61"/>
      <c r="J6" s="62"/>
      <c r="K6" s="28"/>
      <c r="L6" s="62"/>
      <c r="M6" s="62"/>
      <c r="N6" s="62"/>
      <c r="O6" s="25"/>
      <c r="P6" s="25"/>
      <c r="Q6" s="23"/>
      <c r="R6" s="23"/>
      <c r="S6" s="23"/>
      <c r="T6" s="32"/>
    </row>
    <row r="7" spans="1:21" ht="19.5" customHeight="1">
      <c r="A7" s="34">
        <v>3</v>
      </c>
      <c r="B7" s="34" t="s">
        <v>241</v>
      </c>
      <c r="C7" s="54"/>
      <c r="D7" s="28"/>
      <c r="E7" s="28"/>
      <c r="F7" s="25"/>
      <c r="G7" s="28"/>
      <c r="H7" s="28"/>
      <c r="I7" s="61"/>
      <c r="J7" s="62"/>
      <c r="K7" s="28"/>
      <c r="L7" s="62"/>
      <c r="M7" s="62"/>
      <c r="N7" s="62"/>
      <c r="O7" s="25"/>
      <c r="P7" s="25"/>
      <c r="Q7" s="23"/>
      <c r="R7" s="23"/>
      <c r="S7" s="23"/>
      <c r="T7" s="32"/>
    </row>
    <row r="8" spans="1:21" ht="19.5" customHeight="1">
      <c r="A8" s="34">
        <v>4</v>
      </c>
      <c r="B8" s="34" t="s">
        <v>242</v>
      </c>
      <c r="C8" s="54"/>
      <c r="D8" s="28"/>
      <c r="E8" s="28"/>
      <c r="F8" s="25"/>
      <c r="G8" s="28"/>
      <c r="H8" s="28"/>
      <c r="I8" s="61"/>
      <c r="J8" s="62"/>
      <c r="K8" s="28"/>
      <c r="L8" s="62"/>
      <c r="M8" s="62"/>
      <c r="N8" s="62"/>
      <c r="O8" s="25"/>
      <c r="P8" s="25"/>
      <c r="Q8" s="23"/>
      <c r="R8" s="23"/>
      <c r="S8" s="23"/>
      <c r="T8" s="32"/>
    </row>
    <row r="9" spans="1:21" ht="19.5" customHeight="1">
      <c r="A9" s="34">
        <v>5</v>
      </c>
      <c r="B9" s="34" t="s">
        <v>243</v>
      </c>
      <c r="C9" s="54"/>
      <c r="D9" s="28"/>
      <c r="E9" s="28"/>
      <c r="F9" s="25"/>
      <c r="G9" s="28"/>
      <c r="H9" s="28"/>
      <c r="I9" s="61"/>
      <c r="J9" s="62"/>
      <c r="K9" s="28"/>
      <c r="L9" s="62"/>
      <c r="M9" s="62"/>
      <c r="N9" s="62"/>
      <c r="O9" s="25"/>
      <c r="P9" s="25"/>
      <c r="Q9" s="23"/>
      <c r="R9" s="23"/>
      <c r="S9" s="23"/>
      <c r="T9" s="35"/>
    </row>
    <row r="10" spans="1:21" ht="19.5" customHeight="1">
      <c r="A10" s="34">
        <v>6</v>
      </c>
      <c r="B10" s="34" t="s">
        <v>244</v>
      </c>
      <c r="C10" s="54"/>
      <c r="D10" s="28"/>
      <c r="E10" s="28"/>
      <c r="F10" s="25">
        <v>6.5</v>
      </c>
      <c r="G10" s="28"/>
      <c r="H10" s="28"/>
      <c r="I10" s="61"/>
      <c r="J10" s="62"/>
      <c r="K10" s="28"/>
      <c r="L10" s="62"/>
      <c r="M10" s="62"/>
      <c r="N10" s="62"/>
      <c r="O10" s="25"/>
      <c r="P10" s="25"/>
      <c r="Q10" s="23"/>
      <c r="R10" s="23"/>
      <c r="S10" s="23"/>
      <c r="T10" s="35"/>
    </row>
    <row r="11" spans="1:21" ht="19.5" customHeight="1">
      <c r="A11" s="63" t="s">
        <v>245</v>
      </c>
      <c r="B11" s="64"/>
      <c r="C11" s="65"/>
      <c r="D11" s="28"/>
      <c r="E11" s="28"/>
      <c r="F11" s="25"/>
      <c r="G11" s="28"/>
      <c r="H11" s="28"/>
      <c r="I11" s="61"/>
      <c r="J11" s="62"/>
      <c r="K11" s="28"/>
      <c r="L11" s="62"/>
      <c r="M11" s="62"/>
      <c r="N11" s="62"/>
      <c r="O11" s="25"/>
      <c r="P11" s="25"/>
      <c r="Q11" s="23"/>
      <c r="R11" s="23"/>
      <c r="S11" s="23"/>
      <c r="T11" s="32"/>
    </row>
    <row r="12" spans="1:21" ht="19.5" customHeight="1">
      <c r="A12" s="34">
        <v>1</v>
      </c>
      <c r="B12" s="34" t="s">
        <v>246</v>
      </c>
      <c r="C12" s="54"/>
      <c r="D12" s="28"/>
      <c r="E12" s="28"/>
      <c r="F12" s="25"/>
      <c r="G12" s="28"/>
      <c r="H12" s="28"/>
      <c r="I12" s="61"/>
      <c r="J12" s="62"/>
      <c r="K12" s="28"/>
      <c r="L12" s="62"/>
      <c r="M12" s="62"/>
      <c r="N12" s="62"/>
      <c r="O12" s="25"/>
      <c r="P12" s="25"/>
      <c r="Q12" s="23"/>
      <c r="R12" s="23"/>
      <c r="S12" s="23"/>
      <c r="T12" s="32"/>
    </row>
    <row r="13" spans="1:21" ht="19.5" customHeight="1">
      <c r="A13" s="34">
        <v>2</v>
      </c>
      <c r="B13" s="34" t="s">
        <v>247</v>
      </c>
      <c r="C13" s="54"/>
      <c r="D13" s="28"/>
      <c r="E13" s="28"/>
      <c r="F13" s="25"/>
      <c r="G13" s="28"/>
      <c r="H13" s="28"/>
      <c r="I13" s="61"/>
      <c r="J13" s="62"/>
      <c r="K13" s="28"/>
      <c r="L13" s="62"/>
      <c r="M13" s="62"/>
      <c r="N13" s="62"/>
      <c r="O13" s="25"/>
      <c r="P13" s="25"/>
      <c r="Q13" s="23"/>
      <c r="R13" s="23"/>
      <c r="S13" s="23"/>
      <c r="T13" s="32"/>
    </row>
    <row r="14" spans="1:21" ht="19.5" customHeight="1">
      <c r="A14" s="34">
        <v>3</v>
      </c>
      <c r="B14" s="34" t="s">
        <v>249</v>
      </c>
      <c r="C14" s="66"/>
      <c r="D14" s="28"/>
      <c r="E14" s="28"/>
      <c r="F14" s="25"/>
      <c r="G14" s="28"/>
      <c r="H14" s="23"/>
      <c r="I14" s="61"/>
      <c r="J14" s="62"/>
      <c r="K14" s="28"/>
      <c r="L14" s="62"/>
      <c r="M14" s="62"/>
      <c r="N14" s="62"/>
      <c r="O14" s="25"/>
      <c r="P14" s="25"/>
      <c r="Q14" s="23"/>
      <c r="R14" s="23"/>
      <c r="S14" s="23"/>
      <c r="T14" s="32"/>
    </row>
    <row r="15" spans="1:21" ht="19.5" customHeight="1">
      <c r="A15" s="34">
        <v>4</v>
      </c>
      <c r="B15" s="34" t="s">
        <v>250</v>
      </c>
      <c r="C15" s="66"/>
      <c r="D15" s="28"/>
      <c r="E15" s="28">
        <v>8</v>
      </c>
      <c r="F15" s="25"/>
      <c r="G15" s="28"/>
      <c r="H15" s="23"/>
      <c r="I15" s="61"/>
      <c r="J15" s="62"/>
      <c r="K15" s="28"/>
      <c r="L15" s="62"/>
      <c r="M15" s="62"/>
      <c r="N15" s="62"/>
      <c r="O15" s="25"/>
      <c r="P15" s="25"/>
      <c r="Q15" s="23"/>
      <c r="R15" s="23"/>
      <c r="S15" s="23"/>
      <c r="T15" s="32"/>
    </row>
    <row r="16" spans="1:21" ht="19.5" customHeight="1">
      <c r="A16" s="34">
        <v>5</v>
      </c>
      <c r="B16" s="34" t="s">
        <v>251</v>
      </c>
      <c r="C16" s="66"/>
      <c r="D16" s="28"/>
      <c r="E16" s="28"/>
      <c r="F16" s="25"/>
      <c r="G16" s="28"/>
      <c r="H16" s="23"/>
      <c r="I16" s="61"/>
      <c r="J16" s="62"/>
      <c r="K16" s="28"/>
      <c r="L16" s="62"/>
      <c r="M16" s="62"/>
      <c r="N16" s="62"/>
      <c r="O16" s="25"/>
      <c r="P16" s="25"/>
      <c r="Q16" s="23"/>
      <c r="R16" s="23"/>
      <c r="S16" s="23"/>
      <c r="T16" s="32"/>
    </row>
    <row r="17" spans="1:20" ht="19.5" customHeight="1">
      <c r="A17" s="63" t="s">
        <v>252</v>
      </c>
      <c r="B17" s="64"/>
      <c r="C17" s="65"/>
      <c r="D17" s="28"/>
      <c r="E17" s="28"/>
      <c r="F17" s="25"/>
      <c r="G17" s="28"/>
      <c r="H17" s="28"/>
      <c r="I17" s="61"/>
      <c r="J17" s="62"/>
      <c r="K17" s="28"/>
      <c r="L17" s="62"/>
      <c r="M17" s="62"/>
      <c r="N17" s="62"/>
      <c r="O17" s="25"/>
      <c r="P17" s="25"/>
      <c r="Q17" s="23"/>
      <c r="R17" s="23"/>
      <c r="S17" s="23"/>
      <c r="T17" s="32"/>
    </row>
    <row r="18" spans="1:20" ht="19.5" customHeight="1">
      <c r="A18" s="34">
        <v>1</v>
      </c>
      <c r="B18" s="34" t="s">
        <v>256</v>
      </c>
      <c r="C18" s="54"/>
      <c r="D18" s="28"/>
      <c r="E18" s="28"/>
      <c r="F18" s="25"/>
      <c r="G18" s="28"/>
      <c r="H18" s="28"/>
      <c r="I18" s="61"/>
      <c r="J18" s="62"/>
      <c r="K18" s="28"/>
      <c r="L18" s="62"/>
      <c r="M18" s="62"/>
      <c r="N18" s="62"/>
      <c r="O18" s="25"/>
      <c r="P18" s="25"/>
      <c r="Q18" s="23"/>
      <c r="R18" s="23"/>
      <c r="S18" s="23"/>
      <c r="T18" s="32"/>
    </row>
    <row r="19" spans="1:20" ht="19.5" customHeight="1">
      <c r="A19" s="34">
        <v>2</v>
      </c>
      <c r="B19" s="34" t="s">
        <v>257</v>
      </c>
      <c r="C19" s="54"/>
      <c r="D19" s="28"/>
      <c r="E19" s="28"/>
      <c r="F19" s="25"/>
      <c r="G19" s="69">
        <v>6</v>
      </c>
      <c r="H19" s="28"/>
      <c r="I19" s="61"/>
      <c r="J19" s="62"/>
      <c r="K19" s="28"/>
      <c r="L19" s="62"/>
      <c r="M19" s="62"/>
      <c r="N19" s="62"/>
      <c r="O19" s="25"/>
      <c r="P19" s="25"/>
      <c r="Q19" s="23"/>
      <c r="R19" s="23"/>
      <c r="S19" s="23"/>
      <c r="T19" s="32"/>
    </row>
    <row r="20" spans="1:20" ht="19.5" customHeight="1">
      <c r="A20" s="34">
        <v>3</v>
      </c>
      <c r="B20" s="34" t="s">
        <v>258</v>
      </c>
      <c r="C20" s="54"/>
      <c r="D20" s="28"/>
      <c r="E20" s="28"/>
      <c r="F20" s="25"/>
      <c r="G20" s="28"/>
      <c r="H20" s="28"/>
      <c r="I20" s="61"/>
      <c r="J20" s="62"/>
      <c r="K20" s="28"/>
      <c r="L20" s="62"/>
      <c r="M20" s="62"/>
      <c r="N20" s="62"/>
      <c r="O20" s="25"/>
      <c r="P20" s="25"/>
      <c r="Q20" s="23"/>
      <c r="R20" s="23"/>
      <c r="S20" s="23"/>
      <c r="T20" s="32"/>
    </row>
    <row r="21" spans="1:20" ht="19.5" customHeight="1">
      <c r="A21" s="34">
        <v>4</v>
      </c>
      <c r="B21" s="34" t="s">
        <v>259</v>
      </c>
      <c r="C21" s="54"/>
      <c r="D21" s="28"/>
      <c r="E21" s="28"/>
      <c r="F21" s="25">
        <v>8</v>
      </c>
      <c r="G21" s="28"/>
      <c r="H21" s="28"/>
      <c r="I21" s="61"/>
      <c r="J21" s="62"/>
      <c r="K21" s="23"/>
      <c r="L21" s="62"/>
      <c r="M21" s="62"/>
      <c r="N21" s="62"/>
      <c r="O21" s="25"/>
      <c r="P21" s="25"/>
      <c r="Q21" s="23"/>
      <c r="R21" s="23"/>
      <c r="S21" s="23"/>
      <c r="T21" s="32"/>
    </row>
    <row r="22" spans="1:20" ht="19.5" customHeight="1">
      <c r="A22" s="34">
        <v>5</v>
      </c>
      <c r="B22" s="34" t="s">
        <v>260</v>
      </c>
      <c r="C22" s="54"/>
      <c r="D22" s="28"/>
      <c r="E22" s="28"/>
      <c r="F22" s="25">
        <v>4</v>
      </c>
      <c r="G22" s="28"/>
      <c r="H22" s="28"/>
      <c r="I22" s="61"/>
      <c r="J22" s="62"/>
      <c r="K22" s="28"/>
      <c r="L22" s="62"/>
      <c r="M22" s="62"/>
      <c r="N22" s="62"/>
      <c r="O22" s="25"/>
      <c r="P22" s="25"/>
      <c r="Q22" s="23"/>
      <c r="R22" s="23"/>
      <c r="S22" s="23"/>
      <c r="T22" s="32"/>
    </row>
    <row r="23" spans="1:20" ht="19.5" customHeight="1">
      <c r="A23" s="34">
        <v>6</v>
      </c>
      <c r="B23" s="34" t="s">
        <v>261</v>
      </c>
      <c r="C23" s="54"/>
      <c r="D23" s="28"/>
      <c r="E23" s="28"/>
      <c r="F23" s="25"/>
      <c r="G23" s="28"/>
      <c r="H23" s="28"/>
      <c r="I23" s="61"/>
      <c r="J23" s="62"/>
      <c r="K23" s="28"/>
      <c r="L23" s="62"/>
      <c r="M23" s="62"/>
      <c r="N23" s="62"/>
      <c r="O23" s="25"/>
      <c r="P23" s="25"/>
      <c r="Q23" s="23"/>
      <c r="R23" s="23"/>
      <c r="S23" s="23"/>
      <c r="T23" s="32"/>
    </row>
    <row r="24" spans="1:20" ht="19.5" customHeight="1">
      <c r="A24" s="34">
        <v>7</v>
      </c>
      <c r="B24" s="34" t="s">
        <v>263</v>
      </c>
      <c r="C24" s="54"/>
      <c r="D24" s="28"/>
      <c r="E24" s="28"/>
      <c r="F24" s="25"/>
      <c r="G24" s="28"/>
      <c r="H24" s="28"/>
      <c r="I24" s="61"/>
      <c r="J24" s="62"/>
      <c r="K24" s="28"/>
      <c r="L24" s="62"/>
      <c r="M24" s="62"/>
      <c r="N24" s="62"/>
      <c r="O24" s="25"/>
      <c r="P24" s="25"/>
      <c r="Q24" s="23"/>
      <c r="R24" s="23"/>
      <c r="S24" s="23"/>
      <c r="T24" s="32"/>
    </row>
    <row r="25" spans="1:20" ht="19.5" customHeight="1">
      <c r="A25" s="34">
        <v>8</v>
      </c>
      <c r="B25" s="34" t="s">
        <v>264</v>
      </c>
      <c r="C25" s="54"/>
      <c r="D25" s="28"/>
      <c r="E25" s="28"/>
      <c r="F25" s="25">
        <v>1</v>
      </c>
      <c r="H25" s="28"/>
      <c r="I25" s="61"/>
      <c r="J25" s="62"/>
      <c r="K25" s="28"/>
      <c r="L25" s="62"/>
      <c r="M25" s="62"/>
      <c r="N25" s="62"/>
      <c r="O25" s="25"/>
      <c r="P25" s="25"/>
      <c r="Q25" s="23"/>
      <c r="R25" s="23"/>
      <c r="S25" s="23"/>
      <c r="T25" s="32"/>
    </row>
    <row r="26" spans="1:20" ht="19.5" customHeight="1">
      <c r="A26" s="34">
        <v>9</v>
      </c>
      <c r="B26" s="34" t="s">
        <v>265</v>
      </c>
      <c r="C26" s="54"/>
      <c r="D26" s="28"/>
      <c r="E26" s="28"/>
      <c r="F26" s="25">
        <v>8</v>
      </c>
      <c r="G26" s="28"/>
      <c r="H26" s="28"/>
      <c r="I26" s="61"/>
      <c r="J26" s="62"/>
      <c r="K26" s="23"/>
      <c r="L26" s="62"/>
      <c r="M26" s="62"/>
      <c r="N26" s="62"/>
      <c r="O26" s="25"/>
      <c r="P26" s="25"/>
      <c r="Q26" s="23"/>
      <c r="R26" s="23"/>
      <c r="S26" s="23"/>
      <c r="T26" s="32"/>
    </row>
    <row r="27" spans="1:20" ht="19.5" customHeight="1">
      <c r="A27" s="34">
        <v>10</v>
      </c>
      <c r="B27" s="34" t="s">
        <v>266</v>
      </c>
      <c r="C27" s="54"/>
      <c r="D27" s="28"/>
      <c r="E27" s="28"/>
      <c r="F27" s="25">
        <v>3</v>
      </c>
      <c r="G27" s="28"/>
      <c r="H27" s="28"/>
      <c r="I27" s="61"/>
      <c r="J27" s="62"/>
      <c r="K27" s="28"/>
      <c r="L27" s="62"/>
      <c r="M27" s="62"/>
      <c r="N27" s="62"/>
      <c r="O27" s="25"/>
      <c r="P27" s="25"/>
      <c r="Q27" s="23"/>
      <c r="R27" s="23"/>
      <c r="S27" s="23"/>
      <c r="T27" s="32"/>
    </row>
    <row r="28" spans="1:20" ht="19.5" customHeight="1">
      <c r="A28" s="63" t="s">
        <v>267</v>
      </c>
      <c r="B28" s="64"/>
      <c r="C28" s="65"/>
      <c r="D28" s="28"/>
      <c r="E28" s="28"/>
      <c r="F28" s="25"/>
      <c r="G28" s="28"/>
      <c r="H28" s="28"/>
      <c r="I28" s="61"/>
      <c r="J28" s="62"/>
      <c r="K28" s="28"/>
      <c r="L28" s="62"/>
      <c r="M28" s="62"/>
      <c r="N28" s="62"/>
      <c r="O28" s="25"/>
      <c r="P28" s="25"/>
      <c r="Q28" s="23"/>
      <c r="R28" s="23"/>
      <c r="S28" s="23"/>
      <c r="T28" s="32"/>
    </row>
    <row r="29" spans="1:20" ht="19.5" customHeight="1">
      <c r="A29" s="34">
        <v>1</v>
      </c>
      <c r="B29" s="34" t="s">
        <v>268</v>
      </c>
      <c r="C29" s="54">
        <v>3</v>
      </c>
      <c r="D29" s="28"/>
      <c r="E29" s="28"/>
      <c r="F29" s="25"/>
      <c r="G29" s="28"/>
      <c r="H29" s="28"/>
      <c r="I29" s="61"/>
      <c r="J29" s="62"/>
      <c r="K29" s="28"/>
      <c r="L29" s="62"/>
      <c r="M29" s="62"/>
      <c r="N29" s="62"/>
      <c r="O29" s="25"/>
      <c r="P29" s="25"/>
      <c r="Q29" s="23"/>
      <c r="R29" s="23"/>
      <c r="S29" s="23"/>
      <c r="T29" s="32"/>
    </row>
    <row r="30" spans="1:20" ht="19.5" customHeight="1">
      <c r="A30" s="63" t="s">
        <v>269</v>
      </c>
      <c r="B30" s="64"/>
      <c r="C30" s="65"/>
      <c r="D30" s="28"/>
      <c r="E30" s="28"/>
      <c r="F30" s="25"/>
      <c r="G30" s="28"/>
      <c r="H30" s="28"/>
      <c r="I30" s="61"/>
      <c r="J30" s="62"/>
      <c r="K30" s="28"/>
      <c r="L30" s="62"/>
      <c r="M30" s="62"/>
      <c r="N30" s="62"/>
      <c r="O30" s="25"/>
      <c r="P30" s="25"/>
      <c r="Q30" s="23"/>
      <c r="R30" s="23"/>
      <c r="S30" s="23"/>
      <c r="T30" s="32"/>
    </row>
    <row r="31" spans="1:20" ht="19.5" customHeight="1">
      <c r="A31" s="34">
        <v>1</v>
      </c>
      <c r="B31" s="34" t="s">
        <v>270</v>
      </c>
      <c r="C31" s="36"/>
      <c r="D31" s="28"/>
      <c r="E31" s="28"/>
      <c r="F31" s="25"/>
      <c r="G31" s="28"/>
      <c r="H31" s="28"/>
      <c r="I31" s="61"/>
      <c r="J31" s="62"/>
      <c r="K31" s="28"/>
      <c r="L31" s="62"/>
      <c r="M31" s="62"/>
      <c r="N31" s="62"/>
      <c r="O31" s="25"/>
      <c r="P31" s="25"/>
      <c r="Q31" s="23"/>
      <c r="R31" s="23"/>
      <c r="S31" s="23"/>
      <c r="T31" s="32"/>
    </row>
    <row r="32" spans="1:20" ht="19.5" customHeight="1">
      <c r="A32" s="34">
        <v>2</v>
      </c>
      <c r="B32" s="34" t="s">
        <v>271</v>
      </c>
      <c r="C32" s="36"/>
      <c r="D32" s="28"/>
      <c r="E32" s="28"/>
      <c r="F32" s="25"/>
      <c r="G32" s="28"/>
      <c r="H32" s="28"/>
      <c r="I32" s="61"/>
      <c r="J32" s="62"/>
      <c r="K32" s="28"/>
      <c r="L32" s="62"/>
      <c r="M32" s="62"/>
      <c r="N32" s="62"/>
      <c r="O32" s="25"/>
      <c r="P32" s="25"/>
      <c r="Q32" s="23"/>
      <c r="R32" s="23"/>
      <c r="S32" s="23"/>
      <c r="T32" s="32"/>
    </row>
    <row r="33" spans="1:20" ht="19.5" customHeight="1">
      <c r="A33" s="34">
        <v>3</v>
      </c>
      <c r="B33" s="34" t="s">
        <v>272</v>
      </c>
      <c r="C33" s="36"/>
      <c r="D33" s="28"/>
      <c r="E33" s="28"/>
      <c r="F33" s="25"/>
      <c r="G33" s="28"/>
      <c r="H33" s="28"/>
      <c r="I33" s="61"/>
      <c r="J33" s="62"/>
      <c r="K33" s="28"/>
      <c r="L33" s="62"/>
      <c r="M33" s="62"/>
      <c r="N33" s="62"/>
      <c r="O33" s="25"/>
      <c r="P33" s="25"/>
      <c r="Q33" s="23"/>
      <c r="R33" s="23"/>
      <c r="S33" s="23"/>
      <c r="T33" s="32"/>
    </row>
    <row r="34" spans="1:20" ht="19.5" customHeight="1">
      <c r="A34" s="34">
        <v>4</v>
      </c>
      <c r="B34" s="34" t="s">
        <v>273</v>
      </c>
      <c r="C34" s="36"/>
      <c r="D34" s="28"/>
      <c r="E34" s="28"/>
      <c r="F34" s="25"/>
      <c r="G34" s="28"/>
      <c r="H34" s="28"/>
      <c r="I34" s="61"/>
      <c r="J34" s="62"/>
      <c r="K34" s="28"/>
      <c r="L34" s="62"/>
      <c r="M34" s="62"/>
      <c r="N34" s="62"/>
      <c r="O34" s="25"/>
      <c r="P34" s="25"/>
      <c r="Q34" s="23"/>
      <c r="R34" s="23"/>
      <c r="S34" s="23"/>
      <c r="T34" s="32"/>
    </row>
    <row r="35" spans="1:20" ht="19.5" customHeight="1">
      <c r="A35" s="63" t="s">
        <v>274</v>
      </c>
      <c r="B35" s="34"/>
      <c r="C35" s="36"/>
      <c r="D35" s="28"/>
      <c r="E35" s="28"/>
      <c r="F35" s="25"/>
      <c r="G35" s="28"/>
      <c r="H35" s="28"/>
      <c r="I35" s="61"/>
      <c r="J35" s="62"/>
      <c r="K35" s="28"/>
      <c r="L35" s="62"/>
      <c r="M35" s="62"/>
      <c r="N35" s="62"/>
      <c r="O35" s="25"/>
      <c r="P35" s="25"/>
      <c r="Q35" s="23"/>
      <c r="R35" s="23"/>
      <c r="S35" s="23"/>
      <c r="T35" s="32"/>
    </row>
    <row r="36" spans="1:20" ht="19.5" customHeight="1">
      <c r="A36" s="34">
        <v>1</v>
      </c>
      <c r="B36" s="34" t="s">
        <v>275</v>
      </c>
      <c r="C36" s="12"/>
      <c r="D36" s="28"/>
      <c r="E36" s="28"/>
      <c r="F36" s="25"/>
      <c r="G36" s="28"/>
      <c r="H36" s="28"/>
      <c r="I36" s="61"/>
      <c r="J36" s="62"/>
      <c r="K36" s="28"/>
      <c r="L36" s="62"/>
      <c r="M36" s="62"/>
      <c r="N36" s="62"/>
      <c r="O36" s="25"/>
      <c r="P36" s="25"/>
      <c r="Q36" s="23"/>
      <c r="R36" s="23"/>
      <c r="S36" s="23"/>
      <c r="T36" s="32"/>
    </row>
    <row r="37" spans="1:20" ht="19.5" customHeight="1">
      <c r="A37" s="34">
        <v>2</v>
      </c>
      <c r="B37" s="34" t="s">
        <v>276</v>
      </c>
      <c r="C37" s="36"/>
      <c r="D37" s="23"/>
      <c r="E37" s="23"/>
      <c r="F37" s="25"/>
      <c r="G37" s="28"/>
      <c r="H37" s="23"/>
      <c r="I37" s="61"/>
      <c r="J37" s="62"/>
      <c r="K37" s="28"/>
      <c r="L37" s="62"/>
      <c r="M37" s="62"/>
      <c r="N37" s="62"/>
      <c r="O37" s="25"/>
      <c r="P37" s="25"/>
      <c r="Q37" s="23"/>
      <c r="R37" s="23"/>
      <c r="S37" s="23"/>
      <c r="T37" s="34"/>
    </row>
    <row r="38" spans="1:20" ht="19.5" customHeight="1">
      <c r="A38" s="34">
        <v>3</v>
      </c>
      <c r="B38" s="34" t="s">
        <v>277</v>
      </c>
      <c r="C38" s="36"/>
      <c r="D38" s="23"/>
      <c r="E38" s="23"/>
      <c r="F38" s="25">
        <v>2.5</v>
      </c>
      <c r="G38" s="28"/>
      <c r="H38" s="23"/>
      <c r="I38" s="61"/>
      <c r="J38" s="62"/>
      <c r="K38" s="28"/>
      <c r="L38" s="62"/>
      <c r="M38" s="62"/>
      <c r="N38" s="62"/>
      <c r="O38" s="25"/>
      <c r="P38" s="25"/>
      <c r="Q38" s="23"/>
      <c r="R38" s="23"/>
      <c r="S38" s="23"/>
      <c r="T38" s="34"/>
    </row>
    <row r="39" spans="1:20" ht="19.5" customHeight="1">
      <c r="A39" s="34">
        <v>4</v>
      </c>
      <c r="B39" s="34" t="s">
        <v>278</v>
      </c>
      <c r="C39" s="36" t="s">
        <v>40</v>
      </c>
      <c r="D39" s="23"/>
      <c r="E39" s="23"/>
      <c r="F39" s="25"/>
      <c r="G39" s="28"/>
      <c r="H39" s="23"/>
      <c r="I39" s="61"/>
      <c r="J39" s="62"/>
      <c r="K39" s="28"/>
      <c r="L39" s="62"/>
      <c r="M39" s="62"/>
      <c r="N39" s="62"/>
      <c r="O39" s="25"/>
      <c r="P39" s="25"/>
      <c r="Q39" s="23"/>
      <c r="R39" s="23"/>
      <c r="S39" s="23"/>
      <c r="T39" s="34"/>
    </row>
    <row r="40" spans="1:20" ht="19.5" customHeight="1">
      <c r="A40" s="34">
        <v>5</v>
      </c>
      <c r="B40" s="34" t="s">
        <v>279</v>
      </c>
      <c r="C40" s="12"/>
      <c r="D40" s="28"/>
      <c r="E40" s="28"/>
      <c r="F40" s="25"/>
      <c r="G40" s="28"/>
      <c r="H40" s="28"/>
      <c r="I40" s="61"/>
      <c r="J40" s="62"/>
      <c r="K40" s="28"/>
      <c r="L40" s="62"/>
      <c r="M40" s="62"/>
      <c r="N40" s="62"/>
      <c r="O40" s="25"/>
      <c r="P40" s="25"/>
      <c r="Q40" s="23"/>
      <c r="R40" s="23"/>
      <c r="S40" s="23"/>
      <c r="T40" s="32"/>
    </row>
    <row r="41" spans="1:20" ht="19.5" customHeight="1">
      <c r="A41" s="63" t="s">
        <v>280</v>
      </c>
      <c r="B41" s="34"/>
      <c r="C41" s="12"/>
      <c r="D41" s="28"/>
      <c r="E41" s="28"/>
      <c r="F41" s="25"/>
      <c r="G41" s="28"/>
      <c r="H41" s="28"/>
      <c r="I41" s="61"/>
      <c r="J41" s="62"/>
      <c r="K41" s="28"/>
      <c r="L41" s="62"/>
      <c r="M41" s="62"/>
      <c r="N41" s="62"/>
      <c r="O41" s="25"/>
      <c r="P41" s="25"/>
      <c r="Q41" s="23"/>
      <c r="R41" s="23"/>
      <c r="S41" s="23"/>
      <c r="T41" s="32"/>
    </row>
    <row r="42" spans="1:20" ht="19.5" customHeight="1">
      <c r="A42" s="34">
        <v>1</v>
      </c>
      <c r="B42" s="34" t="s">
        <v>281</v>
      </c>
      <c r="C42" s="36"/>
      <c r="D42" s="28"/>
      <c r="E42" s="28"/>
      <c r="F42" s="25"/>
      <c r="G42" s="28"/>
      <c r="H42" s="28"/>
      <c r="I42" s="61"/>
      <c r="J42" s="62"/>
      <c r="K42" s="28"/>
      <c r="L42" s="62"/>
      <c r="M42" s="62"/>
      <c r="N42" s="62"/>
      <c r="O42" s="25"/>
      <c r="P42" s="25"/>
      <c r="Q42" s="23"/>
      <c r="R42" s="23"/>
      <c r="S42" s="23"/>
      <c r="T42" s="32"/>
    </row>
    <row r="43" spans="1:20" ht="19.5" customHeight="1">
      <c r="A43" s="34">
        <v>2</v>
      </c>
      <c r="B43" s="34" t="s">
        <v>282</v>
      </c>
      <c r="C43" s="12"/>
      <c r="D43" s="28"/>
      <c r="E43" s="28"/>
      <c r="F43" s="25"/>
      <c r="G43" s="28"/>
      <c r="H43" s="28"/>
      <c r="I43" s="61"/>
      <c r="J43" s="62"/>
      <c r="K43" s="28"/>
      <c r="L43" s="62"/>
      <c r="M43" s="62"/>
      <c r="N43" s="62"/>
      <c r="O43" s="25"/>
      <c r="P43" s="25"/>
      <c r="Q43" s="23"/>
      <c r="R43" s="23"/>
      <c r="S43" s="23"/>
      <c r="T43" s="32"/>
    </row>
    <row r="44" spans="1:20" ht="19.5" customHeight="1">
      <c r="A44" s="34">
        <v>3</v>
      </c>
      <c r="B44" s="34" t="s">
        <v>283</v>
      </c>
      <c r="C44" s="12" t="s">
        <v>519</v>
      </c>
      <c r="D44" s="28"/>
      <c r="E44" s="28"/>
      <c r="F44" s="25">
        <v>16</v>
      </c>
      <c r="G44" s="28"/>
      <c r="H44" s="28"/>
      <c r="I44" s="61"/>
      <c r="J44" s="62"/>
      <c r="K44" s="28"/>
      <c r="L44" s="62"/>
      <c r="M44" s="62"/>
      <c r="N44" s="62"/>
      <c r="O44" s="25"/>
      <c r="P44" s="25"/>
      <c r="Q44" s="23"/>
      <c r="R44" s="23"/>
      <c r="S44" s="23"/>
      <c r="T44" s="32"/>
    </row>
    <row r="45" spans="1:20" ht="19.5" customHeight="1">
      <c r="A45" s="34">
        <v>4</v>
      </c>
      <c r="B45" s="34" t="s">
        <v>284</v>
      </c>
      <c r="C45" s="12"/>
      <c r="D45" s="28"/>
      <c r="E45" s="28"/>
      <c r="F45" s="25">
        <v>6.5</v>
      </c>
      <c r="G45" s="28"/>
      <c r="H45" s="28"/>
      <c r="I45" s="61"/>
      <c r="J45" s="62"/>
      <c r="K45" s="28"/>
      <c r="L45" s="62"/>
      <c r="M45" s="62"/>
      <c r="N45" s="62"/>
      <c r="O45" s="25"/>
      <c r="P45" s="25"/>
      <c r="Q45" s="23"/>
      <c r="R45" s="23"/>
      <c r="S45" s="23"/>
      <c r="T45" s="32"/>
    </row>
    <row r="46" spans="1:20" ht="19.5" customHeight="1">
      <c r="A46" s="34">
        <v>5</v>
      </c>
      <c r="B46" s="34" t="s">
        <v>285</v>
      </c>
      <c r="C46" s="12"/>
      <c r="D46" s="28"/>
      <c r="E46" s="28"/>
      <c r="F46" s="25">
        <v>8</v>
      </c>
      <c r="G46" s="28"/>
      <c r="H46" s="28"/>
      <c r="I46" s="61"/>
      <c r="J46" s="62"/>
      <c r="K46" s="28"/>
      <c r="L46" s="62"/>
      <c r="M46" s="62"/>
      <c r="N46" s="62"/>
      <c r="O46" s="25"/>
      <c r="P46" s="25"/>
      <c r="Q46" s="23"/>
      <c r="R46" s="23"/>
      <c r="S46" s="23"/>
      <c r="T46" s="32"/>
    </row>
    <row r="47" spans="1:20" ht="19.5" customHeight="1">
      <c r="A47" s="63" t="s">
        <v>286</v>
      </c>
      <c r="B47" s="34"/>
      <c r="C47" s="12"/>
      <c r="D47" s="28"/>
      <c r="E47" s="28"/>
      <c r="F47" s="25"/>
      <c r="G47" s="28"/>
      <c r="H47" s="28"/>
      <c r="I47" s="61"/>
      <c r="J47" s="62"/>
      <c r="K47" s="28"/>
      <c r="L47" s="62"/>
      <c r="M47" s="62"/>
      <c r="N47" s="62"/>
      <c r="O47" s="25"/>
      <c r="P47" s="25"/>
      <c r="Q47" s="23"/>
      <c r="R47" s="23"/>
      <c r="S47" s="23"/>
      <c r="T47" s="32"/>
    </row>
    <row r="48" spans="1:20" ht="19.5" customHeight="1">
      <c r="A48" s="34">
        <v>1</v>
      </c>
      <c r="B48" s="34" t="s">
        <v>287</v>
      </c>
      <c r="C48" s="36">
        <v>4</v>
      </c>
      <c r="D48" s="28"/>
      <c r="E48" s="28"/>
      <c r="F48" s="25"/>
      <c r="G48" s="28"/>
      <c r="H48" s="28"/>
      <c r="I48" s="61"/>
      <c r="J48" s="62"/>
      <c r="K48" s="28"/>
      <c r="L48" s="62"/>
      <c r="M48" s="62"/>
      <c r="N48" s="62"/>
      <c r="O48" s="25"/>
      <c r="P48" s="25"/>
      <c r="Q48" s="23"/>
      <c r="R48" s="23"/>
      <c r="S48" s="23"/>
      <c r="T48" s="32"/>
    </row>
    <row r="49" spans="1:20" ht="19.5" customHeight="1">
      <c r="A49" s="34">
        <v>2</v>
      </c>
      <c r="B49" s="34" t="s">
        <v>288</v>
      </c>
      <c r="C49" s="12"/>
      <c r="D49" s="28"/>
      <c r="E49" s="28"/>
      <c r="F49" s="25">
        <v>1.5</v>
      </c>
      <c r="G49" s="28"/>
      <c r="H49" s="28"/>
      <c r="I49" s="61"/>
      <c r="J49" s="62"/>
      <c r="K49" s="28"/>
      <c r="L49" s="62"/>
      <c r="M49" s="62"/>
      <c r="N49" s="62"/>
      <c r="O49" s="25"/>
      <c r="P49" s="25"/>
      <c r="Q49" s="23"/>
      <c r="R49" s="23"/>
      <c r="S49" s="23"/>
      <c r="T49" s="32"/>
    </row>
    <row r="50" spans="1:20" ht="19.5" customHeight="1">
      <c r="A50" s="34">
        <v>3</v>
      </c>
      <c r="B50" s="34" t="s">
        <v>289</v>
      </c>
      <c r="C50" s="12"/>
      <c r="D50" s="28"/>
      <c r="E50" s="28"/>
      <c r="F50" s="25">
        <v>8</v>
      </c>
      <c r="G50" s="28"/>
      <c r="H50" s="28"/>
      <c r="I50" s="61"/>
      <c r="J50" s="62"/>
      <c r="K50" s="28"/>
      <c r="L50" s="62"/>
      <c r="M50" s="62"/>
      <c r="N50" s="62"/>
      <c r="O50" s="25"/>
      <c r="P50" s="25"/>
      <c r="Q50" s="23"/>
      <c r="R50" s="23"/>
      <c r="S50" s="23"/>
      <c r="T50" s="32"/>
    </row>
    <row r="51" spans="1:20" ht="19.5" customHeight="1">
      <c r="A51" s="63" t="s">
        <v>290</v>
      </c>
      <c r="B51" s="34"/>
      <c r="C51" s="12"/>
      <c r="D51" s="28"/>
      <c r="E51" s="28"/>
      <c r="F51" s="25"/>
      <c r="G51" s="28"/>
      <c r="H51" s="28"/>
      <c r="I51" s="61"/>
      <c r="J51" s="62"/>
      <c r="K51" s="28"/>
      <c r="L51" s="62"/>
      <c r="M51" s="62"/>
      <c r="N51" s="62"/>
      <c r="O51" s="25"/>
      <c r="P51" s="25"/>
      <c r="Q51" s="23"/>
      <c r="R51" s="23"/>
      <c r="S51" s="23"/>
      <c r="T51" s="32"/>
    </row>
    <row r="52" spans="1:20" ht="19.5" customHeight="1">
      <c r="A52" s="34">
        <v>1</v>
      </c>
      <c r="B52" s="43" t="s">
        <v>291</v>
      </c>
      <c r="C52" s="12"/>
      <c r="D52" s="28"/>
      <c r="E52" s="28"/>
      <c r="F52" s="25"/>
      <c r="G52" s="28"/>
      <c r="H52" s="28"/>
      <c r="I52" s="61"/>
      <c r="J52" s="62"/>
      <c r="K52" s="28"/>
      <c r="L52" s="62"/>
      <c r="M52" s="62"/>
      <c r="N52" s="62"/>
      <c r="O52" s="25"/>
      <c r="P52" s="25"/>
      <c r="Q52" s="23"/>
      <c r="R52" s="23"/>
      <c r="S52" s="23"/>
      <c r="T52" s="32"/>
    </row>
    <row r="53" spans="1:20" ht="19.5" customHeight="1">
      <c r="A53" s="34">
        <v>2</v>
      </c>
      <c r="B53" s="34" t="s">
        <v>292</v>
      </c>
      <c r="C53" s="12"/>
      <c r="D53" s="28"/>
      <c r="E53" s="28"/>
      <c r="F53" s="25"/>
      <c r="G53" s="28">
        <v>19</v>
      </c>
      <c r="H53" s="28"/>
      <c r="I53" s="61"/>
      <c r="J53" s="62"/>
      <c r="K53" s="28"/>
      <c r="L53" s="62"/>
      <c r="M53" s="62"/>
      <c r="N53" s="62"/>
      <c r="O53" s="25"/>
      <c r="P53" s="25"/>
      <c r="Q53" s="23"/>
      <c r="R53" s="23"/>
      <c r="S53" s="23"/>
      <c r="T53" s="32"/>
    </row>
    <row r="54" spans="1:20" ht="19.5" customHeight="1">
      <c r="A54" s="34">
        <v>3</v>
      </c>
      <c r="B54" s="34" t="s">
        <v>293</v>
      </c>
      <c r="C54" s="12"/>
      <c r="D54" s="28"/>
      <c r="E54" s="28"/>
      <c r="F54" s="25"/>
      <c r="G54" s="28">
        <v>23.5</v>
      </c>
      <c r="H54" s="28"/>
      <c r="I54" s="61"/>
      <c r="J54" s="62"/>
      <c r="K54" s="28"/>
      <c r="L54" s="62"/>
      <c r="M54" s="62"/>
      <c r="N54" s="62"/>
      <c r="O54" s="25"/>
      <c r="P54" s="25"/>
      <c r="Q54" s="23"/>
      <c r="R54" s="23"/>
      <c r="S54" s="23"/>
      <c r="T54" s="32"/>
    </row>
    <row r="55" spans="1:20" ht="19.5" customHeight="1">
      <c r="A55" s="34">
        <v>4</v>
      </c>
      <c r="B55" s="34" t="s">
        <v>294</v>
      </c>
      <c r="C55" s="12"/>
      <c r="D55" s="23"/>
      <c r="E55" s="28"/>
      <c r="F55" s="25"/>
      <c r="G55" s="28">
        <v>3.5</v>
      </c>
      <c r="H55" s="28"/>
      <c r="I55" s="61"/>
      <c r="J55" s="62"/>
      <c r="K55" s="28"/>
      <c r="L55" s="62"/>
      <c r="M55" s="62"/>
      <c r="N55" s="62"/>
      <c r="O55" s="25"/>
      <c r="P55" s="25"/>
      <c r="Q55" s="23"/>
      <c r="R55" s="23"/>
      <c r="S55" s="23"/>
      <c r="T55" s="32"/>
    </row>
    <row r="56" spans="1:20" ht="19.5" customHeight="1">
      <c r="A56" s="34">
        <v>5</v>
      </c>
      <c r="B56" s="34" t="s">
        <v>295</v>
      </c>
      <c r="C56" s="12"/>
      <c r="D56" s="61"/>
      <c r="E56" s="28"/>
      <c r="F56" s="25">
        <v>11</v>
      </c>
      <c r="G56" s="23"/>
      <c r="H56" s="28"/>
      <c r="I56" s="61"/>
      <c r="J56" s="62"/>
      <c r="K56" s="28"/>
      <c r="L56" s="62"/>
      <c r="M56" s="62"/>
      <c r="N56" s="62"/>
      <c r="O56" s="25"/>
      <c r="P56" s="25"/>
      <c r="Q56" s="23"/>
      <c r="R56" s="23"/>
      <c r="S56" s="23"/>
      <c r="T56" s="32"/>
    </row>
    <row r="57" spans="1:20" ht="19.5" customHeight="1">
      <c r="A57" s="34">
        <v>6</v>
      </c>
      <c r="B57" s="34" t="s">
        <v>296</v>
      </c>
      <c r="C57" s="12"/>
      <c r="D57" s="61"/>
      <c r="E57" s="28">
        <v>244</v>
      </c>
      <c r="F57" s="25">
        <v>24</v>
      </c>
      <c r="G57" s="23"/>
      <c r="H57" s="28"/>
      <c r="I57" s="61"/>
      <c r="J57" s="62"/>
      <c r="K57" s="28"/>
      <c r="L57" s="62"/>
      <c r="M57" s="62"/>
      <c r="N57" s="62"/>
      <c r="O57" s="25"/>
      <c r="P57" s="25"/>
      <c r="Q57" s="23"/>
      <c r="R57" s="23"/>
      <c r="S57" s="23"/>
      <c r="T57" s="32"/>
    </row>
    <row r="58" spans="1:20" ht="19.5" customHeight="1">
      <c r="A58" s="34">
        <v>7</v>
      </c>
      <c r="B58" s="34" t="s">
        <v>297</v>
      </c>
      <c r="C58" s="12"/>
      <c r="D58" s="61"/>
      <c r="E58" s="28"/>
      <c r="F58" s="25"/>
      <c r="G58" s="23"/>
      <c r="H58" s="28"/>
      <c r="I58" s="61"/>
      <c r="J58" s="62"/>
      <c r="K58" s="28"/>
      <c r="L58" s="62"/>
      <c r="M58" s="62"/>
      <c r="N58" s="62"/>
      <c r="O58" s="25"/>
      <c r="P58" s="25"/>
      <c r="Q58" s="23"/>
      <c r="R58" s="23"/>
      <c r="S58" s="23"/>
      <c r="T58" s="32"/>
    </row>
    <row r="59" spans="1:20" ht="19.5" customHeight="1">
      <c r="A59" s="34">
        <v>8</v>
      </c>
      <c r="B59" s="34" t="s">
        <v>299</v>
      </c>
      <c r="C59" s="12"/>
      <c r="D59" s="61"/>
      <c r="E59" s="28"/>
      <c r="F59" s="25"/>
      <c r="G59" s="23"/>
      <c r="H59" s="28"/>
      <c r="I59" s="61"/>
      <c r="J59" s="62"/>
      <c r="K59" s="28"/>
      <c r="L59" s="62"/>
      <c r="M59" s="62"/>
      <c r="N59" s="62"/>
      <c r="O59" s="25"/>
      <c r="P59" s="25"/>
      <c r="Q59" s="23"/>
      <c r="R59" s="23"/>
      <c r="S59" s="23"/>
      <c r="T59" s="32"/>
    </row>
    <row r="60" spans="1:20" ht="19.5" customHeight="1">
      <c r="A60" s="34">
        <v>9</v>
      </c>
      <c r="B60" s="34" t="s">
        <v>300</v>
      </c>
      <c r="C60" s="12"/>
      <c r="D60" s="61"/>
      <c r="E60" s="28"/>
      <c r="F60" s="25"/>
      <c r="G60" s="23"/>
      <c r="H60" s="28"/>
      <c r="I60" s="61"/>
      <c r="J60" s="62"/>
      <c r="K60" s="28"/>
      <c r="L60" s="62"/>
      <c r="M60" s="62"/>
      <c r="N60" s="62"/>
      <c r="O60" s="25"/>
      <c r="P60" s="25"/>
      <c r="Q60" s="23"/>
      <c r="R60" s="23"/>
      <c r="S60" s="23"/>
      <c r="T60" s="32"/>
    </row>
    <row r="61" spans="1:20" ht="19.5" customHeight="1">
      <c r="A61" s="34">
        <v>10</v>
      </c>
      <c r="B61" s="34" t="s">
        <v>301</v>
      </c>
      <c r="C61" s="12"/>
      <c r="D61" s="61"/>
      <c r="E61" s="28"/>
      <c r="F61" s="25"/>
      <c r="G61" s="23"/>
      <c r="H61" s="28"/>
      <c r="I61" s="61"/>
      <c r="J61" s="62"/>
      <c r="K61" s="28"/>
      <c r="L61" s="62"/>
      <c r="M61" s="62"/>
      <c r="N61" s="62"/>
      <c r="O61" s="25"/>
      <c r="P61" s="25"/>
      <c r="Q61" s="23"/>
      <c r="R61" s="23"/>
      <c r="S61" s="23"/>
      <c r="T61" s="32"/>
    </row>
    <row r="62" spans="1:20" ht="19.5" customHeight="1">
      <c r="A62" s="34">
        <v>11</v>
      </c>
      <c r="B62" s="34" t="s">
        <v>302</v>
      </c>
      <c r="C62" s="12"/>
      <c r="D62" s="61"/>
      <c r="E62" s="28"/>
      <c r="F62" s="25"/>
      <c r="G62" s="23"/>
      <c r="H62" s="28"/>
      <c r="I62" s="61"/>
      <c r="J62" s="62"/>
      <c r="K62" s="28"/>
      <c r="L62" s="62"/>
      <c r="M62" s="62"/>
      <c r="N62" s="62"/>
      <c r="O62" s="25"/>
      <c r="P62" s="25"/>
      <c r="Q62" s="23"/>
      <c r="R62" s="23"/>
      <c r="S62" s="23"/>
      <c r="T62" s="32"/>
    </row>
    <row r="63" spans="1:20" ht="19.5" customHeight="1">
      <c r="A63" s="34">
        <v>12</v>
      </c>
      <c r="B63" s="34" t="s">
        <v>303</v>
      </c>
      <c r="C63" s="12"/>
      <c r="D63" s="61"/>
      <c r="E63" s="28"/>
      <c r="F63" s="25"/>
      <c r="G63" s="23"/>
      <c r="H63" s="28"/>
      <c r="I63" s="61"/>
      <c r="J63" s="62"/>
      <c r="K63" s="28"/>
      <c r="L63" s="62"/>
      <c r="M63" s="62"/>
      <c r="N63" s="62"/>
      <c r="O63" s="25"/>
      <c r="P63" s="25"/>
      <c r="Q63" s="23"/>
      <c r="R63" s="23"/>
      <c r="S63" s="23"/>
      <c r="T63" s="32"/>
    </row>
    <row r="64" spans="1:20" ht="19.5" customHeight="1">
      <c r="A64" s="34">
        <v>13</v>
      </c>
      <c r="B64" s="34" t="s">
        <v>304</v>
      </c>
      <c r="C64" s="12"/>
      <c r="D64" s="61"/>
      <c r="E64" s="28"/>
      <c r="F64" s="25"/>
      <c r="G64" s="23"/>
      <c r="H64" s="28"/>
      <c r="I64" s="61"/>
      <c r="J64" s="62"/>
      <c r="K64" s="28"/>
      <c r="L64" s="62"/>
      <c r="M64" s="62"/>
      <c r="N64" s="62"/>
      <c r="O64" s="25"/>
      <c r="P64" s="25"/>
      <c r="Q64" s="23"/>
      <c r="R64" s="23"/>
      <c r="S64" s="23"/>
      <c r="T64" s="32"/>
    </row>
    <row r="65" spans="1:20" ht="19.5" customHeight="1">
      <c r="A65" s="63" t="s">
        <v>305</v>
      </c>
      <c r="B65" s="64"/>
      <c r="C65" s="65"/>
      <c r="D65" s="28"/>
      <c r="E65" s="28"/>
      <c r="F65" s="25"/>
      <c r="G65" s="28"/>
      <c r="H65" s="28"/>
      <c r="I65" s="61"/>
      <c r="J65" s="62"/>
      <c r="K65" s="28"/>
      <c r="L65" s="62"/>
      <c r="M65" s="62"/>
      <c r="N65" s="62"/>
      <c r="O65" s="25"/>
      <c r="P65" s="25"/>
      <c r="Q65" s="23"/>
      <c r="R65" s="23"/>
      <c r="S65" s="23"/>
      <c r="T65" s="32"/>
    </row>
    <row r="66" spans="1:20" ht="19.5" customHeight="1">
      <c r="A66" s="34">
        <v>1</v>
      </c>
      <c r="B66" s="34" t="s">
        <v>306</v>
      </c>
      <c r="C66" s="12"/>
      <c r="D66" s="28"/>
      <c r="E66" s="28"/>
      <c r="F66" s="25"/>
      <c r="G66" s="28"/>
      <c r="H66" s="27"/>
      <c r="I66" s="61"/>
      <c r="J66" s="62"/>
      <c r="K66" s="28"/>
      <c r="L66" s="62"/>
      <c r="M66" s="62"/>
      <c r="N66" s="62"/>
      <c r="O66" s="25"/>
      <c r="P66" s="25"/>
      <c r="Q66" s="23"/>
      <c r="R66" s="23"/>
      <c r="S66" s="23"/>
      <c r="T66" s="32"/>
    </row>
    <row r="67" spans="1:20" ht="19.5" customHeight="1">
      <c r="A67" s="34">
        <v>2</v>
      </c>
      <c r="B67" s="34" t="s">
        <v>307</v>
      </c>
      <c r="C67" s="12"/>
      <c r="D67" s="28"/>
      <c r="E67" s="28"/>
      <c r="F67" s="25">
        <v>6</v>
      </c>
      <c r="G67" s="28"/>
      <c r="H67" s="28"/>
      <c r="I67" s="61">
        <v>17</v>
      </c>
      <c r="J67" s="62">
        <f>I67*8</f>
        <v>136</v>
      </c>
      <c r="K67" s="23">
        <v>5</v>
      </c>
      <c r="L67" s="16">
        <f t="shared" ref="L67" si="0">K67*12</f>
        <v>60</v>
      </c>
      <c r="M67" s="16">
        <f t="shared" ref="M67" si="1">K67*4</f>
        <v>20</v>
      </c>
      <c r="N67" s="62">
        <f>M67+L67+J67</f>
        <v>216</v>
      </c>
      <c r="O67" s="25"/>
      <c r="P67" s="25">
        <v>28</v>
      </c>
      <c r="Q67" s="23"/>
      <c r="R67" s="23">
        <v>20</v>
      </c>
      <c r="S67" s="23"/>
      <c r="T67" s="32"/>
    </row>
    <row r="68" spans="1:20" ht="19.5" customHeight="1">
      <c r="A68" s="34">
        <v>3</v>
      </c>
      <c r="B68" s="34" t="s">
        <v>308</v>
      </c>
      <c r="C68" s="12"/>
      <c r="D68" s="28"/>
      <c r="E68" s="28"/>
      <c r="F68" s="25"/>
      <c r="G68" s="28"/>
      <c r="H68" s="28"/>
      <c r="I68" s="61"/>
      <c r="J68" s="62"/>
      <c r="K68" s="23"/>
      <c r="L68" s="62"/>
      <c r="M68" s="62"/>
      <c r="N68" s="62"/>
      <c r="O68" s="25">
        <v>3.5</v>
      </c>
      <c r="P68" s="25">
        <v>26</v>
      </c>
      <c r="Q68" s="23"/>
      <c r="R68" s="23"/>
      <c r="S68" s="23"/>
      <c r="T68" s="32"/>
    </row>
    <row r="69" spans="1:20" ht="19.5" customHeight="1">
      <c r="A69" s="34">
        <v>4</v>
      </c>
      <c r="B69" s="34" t="s">
        <v>309</v>
      </c>
      <c r="D69" s="12"/>
      <c r="E69" s="28"/>
      <c r="F69" s="25"/>
      <c r="G69" s="28"/>
      <c r="H69" s="28"/>
      <c r="I69" s="61">
        <v>6</v>
      </c>
      <c r="J69" s="62">
        <f>I69*8</f>
        <v>48</v>
      </c>
      <c r="K69" s="23">
        <v>8</v>
      </c>
      <c r="L69" s="16">
        <f t="shared" ref="L69" si="2">K69*12</f>
        <v>96</v>
      </c>
      <c r="M69" s="16">
        <f t="shared" ref="M69" si="3">K69*4</f>
        <v>32</v>
      </c>
      <c r="N69" s="62">
        <f>M69+L69+J69</f>
        <v>176</v>
      </c>
      <c r="O69" s="25"/>
      <c r="P69" s="25">
        <v>31</v>
      </c>
      <c r="Q69" s="23"/>
      <c r="R69" s="23">
        <v>10</v>
      </c>
      <c r="S69" s="23"/>
      <c r="T69" s="32"/>
    </row>
    <row r="70" spans="1:20" ht="19.5" customHeight="1">
      <c r="A70" s="34">
        <v>5</v>
      </c>
      <c r="B70" s="34" t="s">
        <v>310</v>
      </c>
      <c r="C70" s="12">
        <v>2</v>
      </c>
      <c r="D70" s="12"/>
      <c r="E70" s="28"/>
      <c r="F70" s="25"/>
      <c r="G70" s="28"/>
      <c r="H70" s="28"/>
      <c r="I70" s="61"/>
      <c r="J70" s="62"/>
      <c r="K70" s="23"/>
      <c r="L70" s="62"/>
      <c r="M70" s="62"/>
      <c r="N70" s="62"/>
      <c r="O70" s="25"/>
      <c r="P70" s="25">
        <v>28</v>
      </c>
      <c r="Q70" s="23"/>
      <c r="R70" s="23">
        <v>20</v>
      </c>
      <c r="S70" s="23"/>
      <c r="T70" s="32"/>
    </row>
    <row r="71" spans="1:20" ht="19.5" customHeight="1">
      <c r="A71" s="34">
        <v>6</v>
      </c>
      <c r="B71" s="34" t="s">
        <v>311</v>
      </c>
      <c r="C71" s="36" t="s">
        <v>521</v>
      </c>
      <c r="D71" s="28"/>
      <c r="E71" s="28"/>
      <c r="F71" s="25"/>
      <c r="G71" s="28"/>
      <c r="H71" s="28"/>
      <c r="I71" s="61">
        <v>3</v>
      </c>
      <c r="J71" s="62">
        <f>I71*8</f>
        <v>24</v>
      </c>
      <c r="K71" s="23"/>
      <c r="L71" s="62"/>
      <c r="M71" s="62"/>
      <c r="N71" s="62">
        <f>M71+L71+J71</f>
        <v>24</v>
      </c>
      <c r="O71" s="25"/>
      <c r="P71" s="25"/>
      <c r="Q71" s="23"/>
      <c r="R71" s="23"/>
      <c r="S71" s="23"/>
      <c r="T71" s="32"/>
    </row>
    <row r="72" spans="1:20" ht="19.5" customHeight="1">
      <c r="A72" s="34">
        <v>8</v>
      </c>
      <c r="B72" s="34" t="s">
        <v>313</v>
      </c>
      <c r="C72" s="12">
        <v>4</v>
      </c>
      <c r="D72" s="28"/>
      <c r="E72" s="28"/>
      <c r="F72" s="25"/>
      <c r="G72" s="28"/>
      <c r="H72" s="28"/>
      <c r="I72" s="61">
        <v>1</v>
      </c>
      <c r="J72" s="62">
        <f>I72*8</f>
        <v>8</v>
      </c>
      <c r="K72" s="23"/>
      <c r="L72" s="62"/>
      <c r="M72" s="62"/>
      <c r="N72" s="62">
        <f>M72+L72+J72</f>
        <v>8</v>
      </c>
      <c r="O72" s="25"/>
      <c r="P72" s="25">
        <v>16</v>
      </c>
      <c r="Q72" s="23"/>
      <c r="R72" s="23"/>
      <c r="S72" s="23"/>
      <c r="T72" s="32"/>
    </row>
    <row r="73" spans="1:20" ht="19.5" customHeight="1">
      <c r="A73" s="34">
        <v>9</v>
      </c>
      <c r="B73" s="34" t="s">
        <v>314</v>
      </c>
      <c r="C73" s="12"/>
      <c r="D73" s="28"/>
      <c r="E73" s="28"/>
      <c r="F73" s="25"/>
      <c r="G73" s="28"/>
      <c r="H73" s="28"/>
      <c r="I73" s="61"/>
      <c r="J73" s="62"/>
      <c r="K73" s="23"/>
      <c r="L73" s="62"/>
      <c r="M73" s="62"/>
      <c r="N73" s="62"/>
      <c r="O73" s="25">
        <v>4</v>
      </c>
      <c r="P73" s="25">
        <v>9.5</v>
      </c>
      <c r="Q73" s="23"/>
      <c r="R73" s="23"/>
      <c r="S73" s="23"/>
      <c r="T73" s="32"/>
    </row>
    <row r="74" spans="1:20" ht="19.5" customHeight="1">
      <c r="A74" s="34">
        <v>10</v>
      </c>
      <c r="B74" s="34" t="s">
        <v>315</v>
      </c>
      <c r="C74" s="12">
        <v>2</v>
      </c>
      <c r="D74" s="28"/>
      <c r="E74" s="28"/>
      <c r="F74" s="25"/>
      <c r="G74" s="28"/>
      <c r="H74" s="28"/>
      <c r="I74" s="61">
        <v>2</v>
      </c>
      <c r="J74" s="62">
        <f>I74*8</f>
        <v>16</v>
      </c>
      <c r="K74" s="23"/>
      <c r="L74" s="62"/>
      <c r="M74" s="62"/>
      <c r="N74" s="62">
        <f>M74+L74+J74</f>
        <v>16</v>
      </c>
      <c r="O74" s="25"/>
      <c r="P74" s="25">
        <v>26</v>
      </c>
      <c r="Q74" s="23"/>
      <c r="R74" s="23"/>
      <c r="S74" s="23"/>
      <c r="T74" s="32"/>
    </row>
    <row r="75" spans="1:20" ht="19.5" customHeight="1">
      <c r="A75" s="34">
        <v>11</v>
      </c>
      <c r="B75" s="34" t="s">
        <v>316</v>
      </c>
      <c r="C75" s="12">
        <v>6</v>
      </c>
      <c r="D75" s="28"/>
      <c r="E75" s="28"/>
      <c r="F75" s="25"/>
      <c r="G75" s="28"/>
      <c r="H75" s="28"/>
      <c r="I75" s="61"/>
      <c r="J75" s="62"/>
      <c r="K75" s="23"/>
      <c r="L75" s="62"/>
      <c r="M75" s="62"/>
      <c r="N75" s="62"/>
      <c r="O75" s="25"/>
      <c r="P75" s="25">
        <v>16</v>
      </c>
      <c r="Q75" s="23"/>
      <c r="R75" s="23"/>
      <c r="S75" s="23"/>
      <c r="T75" s="32"/>
    </row>
    <row r="76" spans="1:20" ht="19.5" customHeight="1">
      <c r="A76" s="34">
        <v>12</v>
      </c>
      <c r="B76" s="34" t="s">
        <v>317</v>
      </c>
      <c r="C76" s="12"/>
      <c r="D76" s="28"/>
      <c r="E76" s="28"/>
      <c r="F76" s="25"/>
      <c r="G76" s="28"/>
      <c r="H76" s="28"/>
      <c r="I76" s="61">
        <v>3</v>
      </c>
      <c r="J76" s="62">
        <f>I76*8</f>
        <v>24</v>
      </c>
      <c r="K76" s="23"/>
      <c r="L76" s="62"/>
      <c r="M76" s="62"/>
      <c r="N76" s="62">
        <f>M76+L76+J76</f>
        <v>24</v>
      </c>
      <c r="O76" s="25"/>
      <c r="P76" s="25">
        <v>16</v>
      </c>
      <c r="Q76" s="23"/>
      <c r="R76" s="23"/>
      <c r="S76" s="23"/>
      <c r="T76" s="32"/>
    </row>
    <row r="77" spans="1:20" ht="19.5" customHeight="1">
      <c r="A77" s="34">
        <v>13</v>
      </c>
      <c r="B77" s="34" t="s">
        <v>318</v>
      </c>
      <c r="C77" s="12">
        <v>4</v>
      </c>
      <c r="D77" s="28"/>
      <c r="E77" s="28"/>
      <c r="F77" s="25"/>
      <c r="G77" s="28"/>
      <c r="H77" s="28"/>
      <c r="I77" s="61"/>
      <c r="J77" s="62"/>
      <c r="K77" s="23"/>
      <c r="L77" s="62"/>
      <c r="M77" s="62"/>
      <c r="N77" s="62"/>
      <c r="O77" s="25"/>
      <c r="P77" s="25">
        <v>28</v>
      </c>
      <c r="Q77" s="23"/>
      <c r="R77" s="23"/>
      <c r="S77" s="23"/>
      <c r="T77" s="32"/>
    </row>
    <row r="78" spans="1:20" ht="19.5" customHeight="1">
      <c r="A78" s="34">
        <v>14</v>
      </c>
      <c r="B78" s="34" t="s">
        <v>319</v>
      </c>
      <c r="C78" s="12"/>
      <c r="D78" s="28"/>
      <c r="E78" s="28"/>
      <c r="F78" s="25"/>
      <c r="G78" s="28"/>
      <c r="H78" s="28"/>
      <c r="I78" s="61"/>
      <c r="J78" s="62"/>
      <c r="K78" s="23"/>
      <c r="L78" s="62"/>
      <c r="M78" s="62"/>
      <c r="N78" s="62"/>
      <c r="O78" s="25"/>
      <c r="P78" s="25">
        <v>27</v>
      </c>
      <c r="Q78" s="23"/>
      <c r="R78" s="23"/>
      <c r="S78" s="23"/>
      <c r="T78" s="32"/>
    </row>
    <row r="79" spans="1:20" ht="19.5" customHeight="1">
      <c r="A79" s="34">
        <v>15</v>
      </c>
      <c r="B79" s="34" t="s">
        <v>320</v>
      </c>
      <c r="C79" s="12"/>
      <c r="D79" s="28"/>
      <c r="E79" s="28"/>
      <c r="F79" s="25"/>
      <c r="G79" s="28"/>
      <c r="H79" s="28"/>
      <c r="I79" s="61"/>
      <c r="J79" s="62"/>
      <c r="K79" s="23"/>
      <c r="L79" s="62"/>
      <c r="M79" s="62"/>
      <c r="N79" s="62"/>
      <c r="O79" s="25"/>
      <c r="P79" s="25"/>
      <c r="Q79" s="23"/>
      <c r="R79" s="23"/>
      <c r="S79" s="23"/>
      <c r="T79" s="32"/>
    </row>
    <row r="80" spans="1:20" ht="19.5" customHeight="1">
      <c r="A80" s="34">
        <v>16</v>
      </c>
      <c r="B80" s="34" t="s">
        <v>321</v>
      </c>
      <c r="C80" s="12"/>
      <c r="D80" s="28"/>
      <c r="E80" s="28"/>
      <c r="F80" s="25"/>
      <c r="G80" s="28"/>
      <c r="H80" s="28"/>
      <c r="I80" s="61"/>
      <c r="J80" s="62"/>
      <c r="K80" s="23"/>
      <c r="L80" s="62"/>
      <c r="M80" s="62"/>
      <c r="N80" s="62"/>
      <c r="O80" s="25"/>
      <c r="P80" s="25"/>
      <c r="Q80" s="23"/>
      <c r="R80" s="23"/>
      <c r="S80" s="23"/>
      <c r="T80" s="32"/>
    </row>
    <row r="81" spans="1:21" ht="19.5" customHeight="1">
      <c r="A81" s="34">
        <v>17</v>
      </c>
      <c r="B81" s="34" t="s">
        <v>322</v>
      </c>
      <c r="C81" s="12"/>
      <c r="D81" s="28"/>
      <c r="E81" s="23"/>
      <c r="F81" s="25"/>
      <c r="H81" s="28"/>
      <c r="I81" s="61"/>
      <c r="J81" s="62"/>
      <c r="K81" s="23"/>
      <c r="L81" s="62"/>
      <c r="M81" s="62"/>
      <c r="N81" s="62"/>
      <c r="O81" s="25"/>
      <c r="P81" s="25"/>
      <c r="Q81" s="23"/>
      <c r="R81" s="23"/>
      <c r="S81" s="23"/>
      <c r="T81" s="32"/>
    </row>
    <row r="82" spans="1:21" ht="19.5" customHeight="1">
      <c r="A82" s="34">
        <v>18</v>
      </c>
      <c r="B82" s="34" t="s">
        <v>323</v>
      </c>
      <c r="C82" s="12"/>
      <c r="D82" s="28"/>
      <c r="E82" s="28"/>
      <c r="F82" s="25"/>
      <c r="G82" s="28"/>
      <c r="H82" s="28"/>
      <c r="I82" s="61"/>
      <c r="J82" s="62"/>
      <c r="K82" s="23"/>
      <c r="L82" s="62"/>
      <c r="M82" s="62"/>
      <c r="N82" s="62"/>
      <c r="O82" s="25"/>
      <c r="P82" s="25"/>
      <c r="Q82" s="23"/>
      <c r="R82" s="23"/>
      <c r="S82" s="23"/>
      <c r="T82" s="32"/>
    </row>
    <row r="83" spans="1:21" ht="19.5" customHeight="1">
      <c r="A83" s="34">
        <v>19</v>
      </c>
      <c r="B83" s="34" t="s">
        <v>324</v>
      </c>
      <c r="C83" s="12"/>
      <c r="D83" s="28"/>
      <c r="E83" s="28"/>
      <c r="F83" s="25"/>
      <c r="G83" s="28"/>
      <c r="H83" s="28"/>
      <c r="I83" s="61"/>
      <c r="J83" s="62"/>
      <c r="K83" s="23"/>
      <c r="L83" s="62"/>
      <c r="M83" s="62"/>
      <c r="N83" s="62"/>
      <c r="O83" s="25"/>
      <c r="P83" s="25"/>
      <c r="Q83" s="23"/>
      <c r="R83" s="23"/>
      <c r="S83" s="23"/>
      <c r="T83" s="32"/>
    </row>
    <row r="84" spans="1:21" ht="19.5" customHeight="1">
      <c r="A84" s="34">
        <v>20</v>
      </c>
      <c r="B84" s="34" t="s">
        <v>325</v>
      </c>
      <c r="C84" s="12"/>
      <c r="D84" s="28"/>
      <c r="E84" s="28"/>
      <c r="F84" s="25">
        <v>8</v>
      </c>
      <c r="G84" s="28"/>
      <c r="H84" s="28"/>
      <c r="I84" s="61"/>
      <c r="J84" s="62"/>
      <c r="K84" s="23"/>
      <c r="L84" s="62"/>
      <c r="M84" s="62"/>
      <c r="N84" s="62"/>
      <c r="O84" s="25"/>
      <c r="P84" s="25"/>
      <c r="Q84" s="23"/>
      <c r="R84" s="23"/>
      <c r="S84" s="23"/>
      <c r="T84" s="32"/>
    </row>
    <row r="85" spans="1:21" ht="19.5" customHeight="1">
      <c r="A85" s="34">
        <v>21</v>
      </c>
      <c r="B85" s="34" t="s">
        <v>326</v>
      </c>
      <c r="C85" s="12"/>
      <c r="D85" s="28"/>
      <c r="E85" s="28"/>
      <c r="F85" s="25"/>
      <c r="G85" s="28"/>
      <c r="H85" s="28"/>
      <c r="I85" s="61">
        <v>5</v>
      </c>
      <c r="J85" s="62">
        <f>I85*8</f>
        <v>40</v>
      </c>
      <c r="K85" s="23"/>
      <c r="L85" s="62"/>
      <c r="M85" s="62"/>
      <c r="N85" s="62">
        <f>M85+L85+J85</f>
        <v>40</v>
      </c>
      <c r="O85" s="25"/>
      <c r="P85" s="25">
        <v>36</v>
      </c>
      <c r="Q85" s="23">
        <v>2</v>
      </c>
      <c r="R85" s="23">
        <v>10</v>
      </c>
      <c r="S85" s="23"/>
      <c r="T85" s="32"/>
    </row>
    <row r="86" spans="1:21" ht="19.5" customHeight="1">
      <c r="A86" s="34">
        <v>22</v>
      </c>
      <c r="B86" s="34" t="s">
        <v>327</v>
      </c>
      <c r="C86" s="12">
        <v>3</v>
      </c>
      <c r="D86" s="28"/>
      <c r="E86" s="28"/>
      <c r="F86" s="25"/>
      <c r="G86" s="28"/>
      <c r="H86" s="28"/>
      <c r="I86" s="61"/>
      <c r="J86" s="62"/>
      <c r="K86" s="23"/>
      <c r="L86" s="62"/>
      <c r="M86" s="62"/>
      <c r="N86" s="62"/>
      <c r="O86" s="25"/>
      <c r="P86" s="25"/>
      <c r="Q86" s="23"/>
      <c r="R86" s="23"/>
      <c r="S86" s="23"/>
      <c r="T86" s="35"/>
    </row>
    <row r="87" spans="1:21" ht="19.5" customHeight="1">
      <c r="A87" s="34">
        <v>23</v>
      </c>
      <c r="B87" s="34" t="s">
        <v>328</v>
      </c>
      <c r="C87" s="12"/>
      <c r="D87" s="28"/>
      <c r="E87" s="28"/>
      <c r="F87" s="25"/>
      <c r="G87" s="28"/>
      <c r="H87" s="28"/>
      <c r="I87" s="61">
        <v>5</v>
      </c>
      <c r="J87" s="62">
        <f>I87*8</f>
        <v>40</v>
      </c>
      <c r="K87" s="23">
        <v>5</v>
      </c>
      <c r="L87" s="16">
        <f t="shared" ref="L87" si="4">K87*12</f>
        <v>60</v>
      </c>
      <c r="M87" s="16">
        <f t="shared" ref="M87" si="5">K87*4</f>
        <v>20</v>
      </c>
      <c r="N87" s="62">
        <f>M87+L87+J87</f>
        <v>120</v>
      </c>
      <c r="O87" s="25"/>
      <c r="P87" s="25">
        <v>28</v>
      </c>
      <c r="Q87" s="23"/>
      <c r="R87" s="23">
        <v>20</v>
      </c>
      <c r="S87" s="23"/>
      <c r="T87" s="32"/>
    </row>
    <row r="88" spans="1:21" ht="19.5" customHeight="1">
      <c r="A88" s="34">
        <v>24</v>
      </c>
      <c r="B88" s="71" t="s">
        <v>329</v>
      </c>
      <c r="C88" s="12"/>
      <c r="D88" s="28"/>
      <c r="E88" s="28"/>
      <c r="F88" s="25"/>
      <c r="G88" s="28"/>
      <c r="H88" s="28"/>
      <c r="I88" s="61"/>
      <c r="J88" s="62"/>
      <c r="K88" s="23"/>
      <c r="L88" s="62"/>
      <c r="M88" s="62"/>
      <c r="N88" s="62"/>
      <c r="O88" s="25"/>
      <c r="P88" s="25"/>
      <c r="Q88" s="23"/>
      <c r="R88" s="23"/>
      <c r="S88" s="23"/>
      <c r="T88" s="32"/>
      <c r="U88" s="72"/>
    </row>
    <row r="89" spans="1:21" ht="19.5" customHeight="1">
      <c r="A89" s="34">
        <v>25</v>
      </c>
      <c r="B89" s="34" t="s">
        <v>330</v>
      </c>
      <c r="C89" s="12"/>
      <c r="D89" s="28"/>
      <c r="E89" s="28"/>
      <c r="F89" s="25"/>
      <c r="G89" s="28"/>
      <c r="H89" s="28"/>
      <c r="I89" s="61"/>
      <c r="J89" s="62"/>
      <c r="K89" s="23"/>
      <c r="L89" s="62"/>
      <c r="M89" s="62"/>
      <c r="N89" s="62"/>
      <c r="O89" s="25"/>
      <c r="P89" s="25"/>
      <c r="Q89" s="23"/>
      <c r="R89" s="23"/>
      <c r="S89" s="23"/>
      <c r="T89" s="32"/>
      <c r="U89" s="72"/>
    </row>
    <row r="90" spans="1:21" ht="19.5" customHeight="1">
      <c r="A90" s="34">
        <v>26</v>
      </c>
      <c r="B90" s="34" t="s">
        <v>331</v>
      </c>
      <c r="C90" s="12"/>
      <c r="D90" s="28"/>
      <c r="E90" s="28"/>
      <c r="F90" s="25">
        <v>8</v>
      </c>
      <c r="G90" s="28"/>
      <c r="H90" s="28"/>
      <c r="I90" s="61">
        <v>1</v>
      </c>
      <c r="J90" s="62">
        <f>I90*8</f>
        <v>8</v>
      </c>
      <c r="K90" s="23">
        <v>12</v>
      </c>
      <c r="L90" s="16">
        <f t="shared" ref="L90" si="6">K90*12</f>
        <v>144</v>
      </c>
      <c r="M90" s="16">
        <f t="shared" ref="M90" si="7">K90*4</f>
        <v>48</v>
      </c>
      <c r="N90" s="62">
        <f>M90+L90+J90</f>
        <v>200</v>
      </c>
      <c r="O90" s="25">
        <v>22.5</v>
      </c>
      <c r="P90" s="23"/>
      <c r="Q90" s="23"/>
      <c r="R90" s="69">
        <v>43.5</v>
      </c>
      <c r="S90" s="23"/>
      <c r="T90" s="32"/>
      <c r="U90" s="72"/>
    </row>
    <row r="91" spans="1:21" ht="19.5" customHeight="1">
      <c r="A91" s="34">
        <v>27</v>
      </c>
      <c r="B91" s="71" t="s">
        <v>332</v>
      </c>
      <c r="C91" s="12"/>
      <c r="D91" s="28"/>
      <c r="E91" s="28"/>
      <c r="F91" s="25"/>
      <c r="G91" s="61"/>
      <c r="H91" s="28"/>
      <c r="I91" s="61">
        <v>8</v>
      </c>
      <c r="J91" s="62">
        <f>I91*8</f>
        <v>64</v>
      </c>
      <c r="K91" s="23"/>
      <c r="L91" s="62"/>
      <c r="M91" s="62"/>
      <c r="N91" s="62">
        <f>M91+L91+J91</f>
        <v>64</v>
      </c>
      <c r="O91" s="25"/>
      <c r="P91" s="25">
        <v>30</v>
      </c>
      <c r="Q91" s="23"/>
      <c r="R91" s="23">
        <v>10</v>
      </c>
      <c r="S91" s="23"/>
      <c r="T91" s="32"/>
      <c r="U91" s="73"/>
    </row>
    <row r="92" spans="1:21" ht="19.5" customHeight="1">
      <c r="A92" s="34">
        <v>28</v>
      </c>
      <c r="B92" s="34" t="s">
        <v>333</v>
      </c>
      <c r="C92" s="12"/>
      <c r="D92" s="28"/>
      <c r="E92" s="28"/>
      <c r="F92" s="25"/>
      <c r="G92" s="61"/>
      <c r="H92" s="28"/>
      <c r="I92" s="61"/>
      <c r="J92" s="62"/>
      <c r="K92" s="23"/>
      <c r="L92" s="62"/>
      <c r="M92" s="62"/>
      <c r="N92" s="62"/>
      <c r="O92" s="25"/>
      <c r="P92" s="25"/>
      <c r="Q92" s="23"/>
      <c r="R92" s="23"/>
      <c r="S92" s="23"/>
      <c r="T92" s="32"/>
      <c r="U92" s="73"/>
    </row>
    <row r="93" spans="1:21" ht="19.5" customHeight="1">
      <c r="A93" s="34">
        <v>29</v>
      </c>
      <c r="B93" s="34" t="s">
        <v>334</v>
      </c>
      <c r="C93" s="12"/>
      <c r="D93" s="28"/>
      <c r="E93" s="28"/>
      <c r="F93" s="25"/>
      <c r="G93" s="61"/>
      <c r="H93" s="28"/>
      <c r="I93" s="61">
        <v>8</v>
      </c>
      <c r="J93" s="62">
        <f>I93*8</f>
        <v>64</v>
      </c>
      <c r="K93" s="23">
        <v>11</v>
      </c>
      <c r="L93" s="16">
        <f t="shared" ref="L93" si="8">K93*12</f>
        <v>132</v>
      </c>
      <c r="M93" s="16">
        <f t="shared" ref="M93" si="9">K93*4</f>
        <v>44</v>
      </c>
      <c r="N93" s="62">
        <f>M93+L93+J93</f>
        <v>240</v>
      </c>
      <c r="O93" s="25"/>
      <c r="P93" s="25">
        <v>28</v>
      </c>
      <c r="Q93" s="23"/>
      <c r="R93" s="23">
        <v>50</v>
      </c>
      <c r="S93" s="23"/>
      <c r="T93" s="32"/>
      <c r="U93" s="73"/>
    </row>
    <row r="94" spans="1:21" ht="19.5" customHeight="1">
      <c r="A94" s="34">
        <v>30</v>
      </c>
      <c r="B94" s="34" t="s">
        <v>335</v>
      </c>
      <c r="C94" s="12"/>
      <c r="D94" s="28"/>
      <c r="E94" s="28"/>
      <c r="F94" s="25"/>
      <c r="G94" s="61"/>
      <c r="H94" s="28"/>
      <c r="I94" s="61">
        <v>4</v>
      </c>
      <c r="J94" s="62">
        <f>I94*8</f>
        <v>32</v>
      </c>
      <c r="K94" s="23">
        <v>2</v>
      </c>
      <c r="L94" s="16">
        <f t="shared" ref="L94" si="10">K94*12</f>
        <v>24</v>
      </c>
      <c r="M94" s="16">
        <f t="shared" ref="M94" si="11">K94*4</f>
        <v>8</v>
      </c>
      <c r="N94" s="62">
        <f>M94+L94+J94</f>
        <v>64</v>
      </c>
      <c r="O94" s="25"/>
      <c r="P94" s="25">
        <v>8</v>
      </c>
      <c r="Q94" s="23"/>
      <c r="R94" s="23"/>
      <c r="S94" s="23"/>
      <c r="T94" s="32"/>
      <c r="U94" s="73"/>
    </row>
    <row r="95" spans="1:21" ht="19.5" customHeight="1">
      <c r="A95" s="34">
        <v>31</v>
      </c>
      <c r="B95" s="34" t="s">
        <v>336</v>
      </c>
      <c r="C95" s="12"/>
      <c r="D95" s="28"/>
      <c r="E95" s="28"/>
      <c r="F95" s="25"/>
      <c r="G95" s="61"/>
      <c r="H95" s="28"/>
      <c r="I95" s="61">
        <v>14</v>
      </c>
      <c r="J95" s="62">
        <f>I95*8</f>
        <v>112</v>
      </c>
      <c r="K95" s="23">
        <v>1</v>
      </c>
      <c r="L95" s="16">
        <f t="shared" ref="L95" si="12">K95*12</f>
        <v>12</v>
      </c>
      <c r="M95" s="16">
        <f t="shared" ref="M95" si="13">K95*4</f>
        <v>4</v>
      </c>
      <c r="N95" s="62">
        <f>M95+L95+J95</f>
        <v>128</v>
      </c>
      <c r="O95" s="25"/>
      <c r="P95" s="25">
        <v>30</v>
      </c>
      <c r="Q95" s="23"/>
      <c r="R95" s="23">
        <v>30</v>
      </c>
      <c r="S95" s="23"/>
      <c r="T95" s="32"/>
      <c r="U95" s="73"/>
    </row>
    <row r="96" spans="1:21" ht="19.5" customHeight="1">
      <c r="A96" s="34">
        <v>32</v>
      </c>
      <c r="B96" s="34" t="s">
        <v>337</v>
      </c>
      <c r="C96" s="36"/>
      <c r="D96" s="23"/>
      <c r="E96" s="27"/>
      <c r="F96" s="25"/>
      <c r="G96" s="28"/>
      <c r="H96" s="28"/>
      <c r="I96" s="61">
        <v>13</v>
      </c>
      <c r="J96" s="62">
        <f>I96*8</f>
        <v>104</v>
      </c>
      <c r="K96" s="23">
        <v>5</v>
      </c>
      <c r="L96" s="16">
        <f t="shared" ref="L96" si="14">K96*12</f>
        <v>60</v>
      </c>
      <c r="M96" s="16">
        <f t="shared" ref="M96" si="15">K96*4</f>
        <v>20</v>
      </c>
      <c r="N96" s="62">
        <f>M96+L96+J96</f>
        <v>184</v>
      </c>
      <c r="O96" s="25"/>
      <c r="P96" s="25"/>
      <c r="Q96" s="23"/>
      <c r="R96" s="23"/>
      <c r="S96" s="23"/>
      <c r="T96" s="32"/>
    </row>
    <row r="97" spans="1:20" ht="19.5" customHeight="1">
      <c r="A97" s="34">
        <v>33</v>
      </c>
      <c r="B97" s="34" t="s">
        <v>338</v>
      </c>
      <c r="C97" s="36"/>
      <c r="D97" s="23"/>
      <c r="E97" s="28"/>
      <c r="F97" s="25"/>
      <c r="G97" s="28"/>
      <c r="H97" s="28"/>
      <c r="I97" s="61"/>
      <c r="J97" s="62"/>
      <c r="K97" s="23"/>
      <c r="L97" s="62"/>
      <c r="M97" s="62"/>
      <c r="N97" s="62"/>
      <c r="O97" s="25"/>
      <c r="P97" s="25"/>
      <c r="Q97" s="23"/>
      <c r="R97" s="23"/>
      <c r="S97" s="23"/>
      <c r="T97" s="32"/>
    </row>
    <row r="98" spans="1:20" ht="19.5" customHeight="1">
      <c r="A98" s="34">
        <v>34</v>
      </c>
      <c r="B98" s="34" t="s">
        <v>339</v>
      </c>
      <c r="C98" s="36"/>
      <c r="D98" s="23"/>
      <c r="E98" s="27"/>
      <c r="F98" s="25"/>
      <c r="G98" s="28"/>
      <c r="H98" s="28"/>
      <c r="I98" s="61"/>
      <c r="J98" s="62"/>
      <c r="K98" s="23"/>
      <c r="L98" s="62"/>
      <c r="M98" s="62"/>
      <c r="N98" s="62"/>
      <c r="O98" s="25"/>
      <c r="P98" s="25"/>
      <c r="Q98" s="23"/>
      <c r="R98" s="23"/>
      <c r="S98" s="23"/>
      <c r="T98" s="32"/>
    </row>
    <row r="99" spans="1:20" ht="19.5" customHeight="1">
      <c r="A99" s="34">
        <v>35</v>
      </c>
      <c r="B99" s="34" t="s">
        <v>340</v>
      </c>
      <c r="C99" s="36"/>
      <c r="D99" s="23"/>
      <c r="E99" s="27"/>
      <c r="F99" s="25"/>
      <c r="G99" s="28"/>
      <c r="H99" s="28"/>
      <c r="I99" s="61"/>
      <c r="J99" s="62"/>
      <c r="K99" s="23">
        <v>2</v>
      </c>
      <c r="L99" s="16">
        <f t="shared" ref="L99" si="16">K99*12</f>
        <v>24</v>
      </c>
      <c r="M99" s="16">
        <f t="shared" ref="M99" si="17">K99*4</f>
        <v>8</v>
      </c>
      <c r="N99" s="62">
        <f t="shared" ref="N99:N101" si="18">M99+L99+J99</f>
        <v>32</v>
      </c>
      <c r="O99" s="25"/>
      <c r="P99" s="25">
        <v>32</v>
      </c>
      <c r="Q99" s="23">
        <v>39</v>
      </c>
      <c r="R99" s="23"/>
      <c r="S99" s="23"/>
      <c r="T99" s="32"/>
    </row>
    <row r="100" spans="1:20" ht="19.5" customHeight="1">
      <c r="A100" s="34">
        <v>36</v>
      </c>
      <c r="B100" s="34" t="s">
        <v>341</v>
      </c>
      <c r="C100" s="36"/>
      <c r="D100" s="23"/>
      <c r="E100" s="27"/>
      <c r="F100" s="25"/>
      <c r="G100" s="28"/>
      <c r="H100" s="28"/>
      <c r="I100" s="61">
        <v>4</v>
      </c>
      <c r="J100" s="62">
        <f t="shared" ref="J99:J101" si="19">I100*8</f>
        <v>32</v>
      </c>
      <c r="K100" s="23">
        <v>7</v>
      </c>
      <c r="L100" s="16">
        <f t="shared" ref="L100" si="20">K100*12</f>
        <v>84</v>
      </c>
      <c r="M100" s="16">
        <f t="shared" ref="M100" si="21">K100*4</f>
        <v>28</v>
      </c>
      <c r="N100" s="62">
        <f t="shared" si="18"/>
        <v>144</v>
      </c>
      <c r="O100" s="25">
        <v>16</v>
      </c>
      <c r="P100" s="25"/>
      <c r="Q100" s="23"/>
      <c r="R100" s="23">
        <v>40</v>
      </c>
      <c r="S100" s="23"/>
      <c r="T100" s="32"/>
    </row>
    <row r="101" spans="1:20" ht="19.5" customHeight="1">
      <c r="A101" s="34">
        <v>37</v>
      </c>
      <c r="B101" s="34" t="s">
        <v>342</v>
      </c>
      <c r="C101" s="36"/>
      <c r="D101" s="23"/>
      <c r="E101" s="27"/>
      <c r="F101" s="25"/>
      <c r="G101" s="28"/>
      <c r="H101" s="28"/>
      <c r="I101" s="61">
        <v>6</v>
      </c>
      <c r="J101" s="62">
        <f t="shared" si="19"/>
        <v>48</v>
      </c>
      <c r="K101" s="23"/>
      <c r="L101" s="62"/>
      <c r="M101" s="62"/>
      <c r="N101" s="62">
        <f t="shared" si="18"/>
        <v>48</v>
      </c>
      <c r="O101" s="25"/>
      <c r="P101" s="25">
        <v>24</v>
      </c>
      <c r="Q101" s="23">
        <v>24</v>
      </c>
      <c r="R101" s="23"/>
      <c r="S101" s="23"/>
      <c r="T101" s="32"/>
    </row>
    <row r="102" spans="1:20" ht="19.5" customHeight="1">
      <c r="A102" s="63" t="s">
        <v>343</v>
      </c>
      <c r="B102" s="64"/>
      <c r="C102" s="12"/>
      <c r="D102" s="28"/>
      <c r="E102" s="28"/>
      <c r="F102" s="25"/>
      <c r="G102" s="28"/>
      <c r="H102" s="28"/>
      <c r="I102" s="61"/>
      <c r="J102" s="62"/>
      <c r="K102" s="28"/>
      <c r="L102" s="62"/>
      <c r="M102" s="62"/>
      <c r="N102" s="62"/>
      <c r="O102" s="25"/>
      <c r="P102" s="25"/>
      <c r="Q102" s="23"/>
      <c r="R102" s="23"/>
      <c r="S102" s="23"/>
      <c r="T102" s="32"/>
    </row>
    <row r="103" spans="1:20" ht="19.5" customHeight="1">
      <c r="A103" s="34">
        <v>1</v>
      </c>
      <c r="B103" s="34" t="s">
        <v>344</v>
      </c>
      <c r="C103" s="12"/>
      <c r="D103" s="28"/>
      <c r="E103" s="28"/>
      <c r="F103" s="25"/>
      <c r="G103" s="28"/>
      <c r="H103" s="27"/>
      <c r="I103" s="61"/>
      <c r="J103" s="62"/>
      <c r="K103" s="28"/>
      <c r="L103" s="62"/>
      <c r="M103" s="62"/>
      <c r="N103" s="62"/>
      <c r="O103" s="25"/>
      <c r="P103" s="25"/>
      <c r="Q103" s="23"/>
      <c r="R103" s="23"/>
      <c r="S103" s="23"/>
      <c r="T103" s="32"/>
    </row>
    <row r="104" spans="1:20" ht="19.5" customHeight="1">
      <c r="A104" s="34">
        <v>2</v>
      </c>
      <c r="B104" s="34" t="s">
        <v>345</v>
      </c>
      <c r="C104" s="12"/>
      <c r="D104" s="28"/>
      <c r="E104" s="28"/>
      <c r="F104" s="25"/>
      <c r="G104" s="28"/>
      <c r="H104" s="28"/>
      <c r="I104" s="61"/>
      <c r="J104" s="62"/>
      <c r="K104" s="28"/>
      <c r="L104" s="62"/>
      <c r="M104" s="62"/>
      <c r="N104" s="62"/>
      <c r="O104" s="25"/>
      <c r="P104" s="25">
        <v>16</v>
      </c>
      <c r="Q104" s="23"/>
      <c r="R104" s="23"/>
      <c r="S104" s="23"/>
      <c r="T104" s="32"/>
    </row>
    <row r="105" spans="1:20" ht="19.5" customHeight="1">
      <c r="A105" s="34">
        <v>3</v>
      </c>
      <c r="B105" s="34" t="s">
        <v>346</v>
      </c>
      <c r="C105" s="12"/>
      <c r="D105" s="28"/>
      <c r="E105" s="28"/>
      <c r="F105" s="25"/>
      <c r="G105" s="28"/>
      <c r="H105" s="28"/>
      <c r="I105" s="61"/>
      <c r="J105" s="62"/>
      <c r="K105" s="28"/>
      <c r="L105" s="62"/>
      <c r="M105" s="62"/>
      <c r="N105" s="62"/>
      <c r="O105" s="25"/>
      <c r="P105" s="25"/>
      <c r="Q105" s="23"/>
      <c r="R105" s="23"/>
      <c r="S105" s="23"/>
      <c r="T105" s="32"/>
    </row>
    <row r="106" spans="1:20" ht="19.5" customHeight="1">
      <c r="A106" s="34">
        <v>4</v>
      </c>
      <c r="B106" s="34" t="s">
        <v>347</v>
      </c>
      <c r="C106" s="12"/>
      <c r="D106" s="28"/>
      <c r="E106" s="28"/>
      <c r="F106" s="25"/>
      <c r="G106" s="61"/>
      <c r="H106" s="28"/>
      <c r="I106" s="61"/>
      <c r="J106" s="62"/>
      <c r="K106" s="28"/>
      <c r="L106" s="62"/>
      <c r="M106" s="62"/>
      <c r="N106" s="62"/>
      <c r="O106" s="25"/>
      <c r="P106" s="25"/>
      <c r="Q106" s="23"/>
      <c r="R106" s="23"/>
      <c r="S106" s="23"/>
      <c r="T106" s="32"/>
    </row>
    <row r="107" spans="1:20" ht="19.5" customHeight="1">
      <c r="A107" s="34">
        <v>5</v>
      </c>
      <c r="B107" s="34" t="s">
        <v>349</v>
      </c>
      <c r="C107" s="12"/>
      <c r="D107" s="28"/>
      <c r="E107" s="28"/>
      <c r="F107" s="25"/>
      <c r="G107" s="28"/>
      <c r="H107" s="28"/>
      <c r="I107" s="61"/>
      <c r="J107" s="62"/>
      <c r="K107" s="28"/>
      <c r="L107" s="62"/>
      <c r="M107" s="62"/>
      <c r="N107" s="62"/>
      <c r="O107" s="25"/>
      <c r="P107" s="25"/>
      <c r="Q107" s="23"/>
      <c r="R107" s="23"/>
      <c r="S107" s="23"/>
      <c r="T107" s="32"/>
    </row>
    <row r="108" spans="1:20" ht="19.5" customHeight="1">
      <c r="A108" s="34">
        <v>6</v>
      </c>
      <c r="B108" s="34" t="s">
        <v>350</v>
      </c>
      <c r="C108" s="12"/>
      <c r="D108" s="28"/>
      <c r="E108" s="28"/>
      <c r="F108" s="25"/>
      <c r="G108" s="28"/>
      <c r="H108" s="28"/>
      <c r="I108" s="61"/>
      <c r="J108" s="62"/>
      <c r="K108" s="28"/>
      <c r="L108" s="62"/>
      <c r="M108" s="62"/>
      <c r="N108" s="62"/>
      <c r="O108" s="25">
        <v>9</v>
      </c>
      <c r="P108" s="25">
        <v>20</v>
      </c>
      <c r="Q108" s="23"/>
      <c r="R108" s="23"/>
      <c r="S108" s="23"/>
      <c r="T108" s="35"/>
    </row>
    <row r="109" spans="1:20" ht="19.5" customHeight="1">
      <c r="A109" s="34">
        <v>7</v>
      </c>
      <c r="B109" s="34" t="s">
        <v>351</v>
      </c>
      <c r="C109" s="12">
        <v>1</v>
      </c>
      <c r="D109" s="28"/>
      <c r="E109" s="28"/>
      <c r="F109" s="25"/>
      <c r="G109" s="28"/>
      <c r="H109" s="28"/>
      <c r="I109" s="61"/>
      <c r="J109" s="62"/>
      <c r="K109" s="28"/>
      <c r="L109" s="62"/>
      <c r="M109" s="62"/>
      <c r="N109" s="62"/>
      <c r="O109" s="25"/>
      <c r="P109" s="25">
        <v>16</v>
      </c>
      <c r="Q109" s="23"/>
      <c r="R109" s="23"/>
      <c r="S109" s="23"/>
      <c r="T109" s="35"/>
    </row>
    <row r="110" spans="1:20" ht="19.5" customHeight="1">
      <c r="A110" s="34">
        <v>8</v>
      </c>
      <c r="B110" s="34" t="s">
        <v>352</v>
      </c>
      <c r="C110" s="12"/>
      <c r="D110" s="28"/>
      <c r="E110" s="28"/>
      <c r="F110" s="25"/>
      <c r="G110" s="28"/>
      <c r="H110" s="28"/>
      <c r="I110" s="61"/>
      <c r="J110" s="62"/>
      <c r="K110" s="28"/>
      <c r="L110" s="62"/>
      <c r="M110" s="62"/>
      <c r="N110" s="62"/>
      <c r="O110" s="25">
        <v>8</v>
      </c>
      <c r="P110" s="25"/>
      <c r="Q110" s="23"/>
      <c r="R110" s="23"/>
      <c r="S110" s="23"/>
      <c r="T110" s="35"/>
    </row>
    <row r="111" spans="1:20" ht="19.5" customHeight="1">
      <c r="A111" s="34">
        <v>9</v>
      </c>
      <c r="B111" s="34" t="s">
        <v>353</v>
      </c>
      <c r="C111" s="12"/>
      <c r="D111" s="28"/>
      <c r="E111" s="28"/>
      <c r="F111" s="25"/>
      <c r="G111" s="28"/>
      <c r="H111" s="28"/>
      <c r="I111" s="61"/>
      <c r="J111" s="62"/>
      <c r="K111" s="23"/>
      <c r="L111" s="62"/>
      <c r="M111" s="62"/>
      <c r="N111" s="62"/>
      <c r="O111" s="25">
        <v>7.5</v>
      </c>
      <c r="P111" s="25">
        <v>7.5</v>
      </c>
      <c r="Q111" s="23"/>
      <c r="R111" s="23"/>
      <c r="S111" s="23"/>
      <c r="T111" s="35"/>
    </row>
    <row r="112" spans="1:20" ht="19.5" customHeight="1">
      <c r="A112" s="34">
        <v>10</v>
      </c>
      <c r="B112" s="34" t="s">
        <v>354</v>
      </c>
      <c r="C112" s="12"/>
      <c r="D112" s="28"/>
      <c r="E112" s="28"/>
      <c r="F112" s="25"/>
      <c r="G112" s="28"/>
      <c r="H112" s="28"/>
      <c r="I112" s="61"/>
      <c r="J112" s="62"/>
      <c r="K112" s="28"/>
      <c r="L112" s="62"/>
      <c r="M112" s="62"/>
      <c r="N112" s="62"/>
      <c r="O112" s="25">
        <v>9</v>
      </c>
      <c r="P112" s="25">
        <v>20</v>
      </c>
      <c r="Q112" s="23"/>
      <c r="R112" s="23"/>
      <c r="S112" s="23"/>
      <c r="T112" s="35"/>
    </row>
    <row r="113" spans="1:20" ht="19.5" customHeight="1">
      <c r="A113" s="34">
        <v>11</v>
      </c>
      <c r="B113" s="34" t="s">
        <v>355</v>
      </c>
      <c r="C113" s="12"/>
      <c r="D113" s="28"/>
      <c r="E113" s="28"/>
      <c r="F113" s="25">
        <v>1</v>
      </c>
      <c r="G113" s="28"/>
      <c r="H113" s="28"/>
      <c r="I113" s="61"/>
      <c r="J113" s="62"/>
      <c r="K113" s="28"/>
      <c r="L113" s="62"/>
      <c r="M113" s="62"/>
      <c r="N113" s="62"/>
      <c r="O113" s="25"/>
      <c r="P113" s="25"/>
      <c r="Q113" s="23"/>
      <c r="R113" s="23"/>
      <c r="S113" s="23"/>
      <c r="T113" s="35"/>
    </row>
    <row r="114" spans="1:20" ht="19.5" customHeight="1">
      <c r="A114" s="63" t="s">
        <v>22</v>
      </c>
      <c r="B114" s="64"/>
      <c r="C114" s="12"/>
      <c r="D114" s="28"/>
      <c r="E114" s="28"/>
      <c r="F114" s="25"/>
      <c r="G114" s="28"/>
      <c r="H114" s="28"/>
      <c r="I114" s="61"/>
      <c r="J114" s="62"/>
      <c r="K114" s="28"/>
      <c r="L114" s="62"/>
      <c r="M114" s="62"/>
      <c r="N114" s="62"/>
      <c r="O114" s="25"/>
      <c r="P114" s="25"/>
      <c r="Q114" s="23"/>
      <c r="R114" s="23"/>
      <c r="S114" s="23"/>
      <c r="T114" s="32"/>
    </row>
    <row r="115" spans="1:20" ht="19.5" customHeight="1">
      <c r="A115" s="34">
        <v>1</v>
      </c>
      <c r="B115" s="34" t="s">
        <v>356</v>
      </c>
      <c r="C115" s="12"/>
      <c r="D115" s="28"/>
      <c r="E115" s="28"/>
      <c r="F115" s="25"/>
      <c r="G115" s="28">
        <v>4</v>
      </c>
      <c r="H115" s="28"/>
      <c r="I115" s="61"/>
      <c r="J115" s="62"/>
      <c r="K115" s="28"/>
      <c r="L115" s="62"/>
      <c r="M115" s="62"/>
      <c r="N115" s="62"/>
      <c r="O115" s="25"/>
      <c r="P115" s="25"/>
      <c r="Q115" s="23"/>
      <c r="R115" s="23"/>
      <c r="S115" s="23"/>
      <c r="T115" s="32"/>
    </row>
    <row r="116" spans="1:20" ht="19.5" customHeight="1">
      <c r="A116" s="34">
        <v>2</v>
      </c>
      <c r="B116" s="34" t="s">
        <v>358</v>
      </c>
      <c r="C116" s="12">
        <v>11</v>
      </c>
      <c r="D116" s="28"/>
      <c r="E116" s="28"/>
      <c r="F116" s="25"/>
      <c r="G116" s="28"/>
      <c r="H116" s="28"/>
      <c r="I116" s="61"/>
      <c r="J116" s="62"/>
      <c r="K116" s="28"/>
      <c r="L116" s="62"/>
      <c r="M116" s="62"/>
      <c r="N116" s="62"/>
      <c r="O116" s="25"/>
      <c r="P116" s="25"/>
      <c r="Q116" s="23"/>
      <c r="R116" s="23"/>
      <c r="S116" s="23"/>
      <c r="T116" s="32"/>
    </row>
    <row r="117" spans="1:20" ht="19.5" customHeight="1">
      <c r="A117" s="34">
        <v>3</v>
      </c>
      <c r="B117" s="34" t="s">
        <v>359</v>
      </c>
      <c r="C117" s="12"/>
      <c r="D117" s="28"/>
      <c r="E117" s="28"/>
      <c r="F117" s="25">
        <v>13</v>
      </c>
      <c r="G117" s="28"/>
      <c r="H117" s="28"/>
      <c r="I117" s="61"/>
      <c r="J117" s="62"/>
      <c r="K117" s="28"/>
      <c r="L117" s="62"/>
      <c r="M117" s="62"/>
      <c r="N117" s="62"/>
      <c r="O117" s="25"/>
      <c r="P117" s="25"/>
      <c r="Q117" s="23"/>
      <c r="R117" s="23"/>
      <c r="S117" s="23"/>
      <c r="T117" s="32"/>
    </row>
    <row r="118" spans="1:20" ht="19.5" customHeight="1">
      <c r="A118" s="34">
        <v>4</v>
      </c>
      <c r="B118" s="34" t="s">
        <v>360</v>
      </c>
      <c r="C118" s="12"/>
      <c r="D118" s="28"/>
      <c r="E118" s="28"/>
      <c r="F118" s="25">
        <v>22.5</v>
      </c>
      <c r="G118" s="28"/>
      <c r="H118" s="28"/>
      <c r="I118" s="61"/>
      <c r="J118" s="62"/>
      <c r="K118" s="28"/>
      <c r="L118" s="62"/>
      <c r="M118" s="62"/>
      <c r="N118" s="62"/>
      <c r="O118" s="25"/>
      <c r="P118" s="25"/>
      <c r="Q118" s="23"/>
      <c r="R118" s="23"/>
      <c r="S118" s="23"/>
      <c r="T118" s="32"/>
    </row>
    <row r="119" spans="1:20" ht="19.5" customHeight="1">
      <c r="A119" s="34">
        <v>5</v>
      </c>
      <c r="B119" s="11" t="s">
        <v>361</v>
      </c>
      <c r="C119" s="12"/>
      <c r="D119" s="29"/>
      <c r="E119" s="28"/>
      <c r="F119" s="25">
        <v>7</v>
      </c>
      <c r="G119" s="28"/>
      <c r="H119" s="28"/>
      <c r="I119" s="61"/>
      <c r="J119" s="62"/>
      <c r="K119" s="28"/>
      <c r="L119" s="62"/>
      <c r="M119" s="62"/>
      <c r="N119" s="62"/>
      <c r="O119" s="25"/>
      <c r="P119" s="25"/>
      <c r="Q119" s="23"/>
      <c r="R119" s="23"/>
      <c r="S119" s="23"/>
      <c r="T119" s="32"/>
    </row>
    <row r="120" spans="1:20" ht="19.5" customHeight="1">
      <c r="A120" s="34">
        <v>6</v>
      </c>
      <c r="B120" s="11" t="s">
        <v>362</v>
      </c>
      <c r="C120" s="36"/>
      <c r="D120" s="28"/>
      <c r="E120" s="28"/>
      <c r="F120" s="25"/>
      <c r="G120" s="28"/>
      <c r="H120" s="28" t="s">
        <v>518</v>
      </c>
      <c r="I120" s="61"/>
      <c r="J120" s="62"/>
      <c r="K120" s="28"/>
      <c r="L120" s="62"/>
      <c r="M120" s="62"/>
      <c r="N120" s="62"/>
      <c r="O120" s="25"/>
      <c r="P120" s="25"/>
      <c r="Q120" s="23"/>
      <c r="R120" s="23"/>
      <c r="S120" s="23"/>
      <c r="T120" s="32"/>
    </row>
    <row r="121" spans="1:20" ht="19.5" customHeight="1">
      <c r="A121" s="34">
        <v>7</v>
      </c>
      <c r="B121" s="11" t="s">
        <v>363</v>
      </c>
      <c r="C121" s="36"/>
      <c r="D121" s="28"/>
      <c r="E121" s="28"/>
      <c r="F121" s="25"/>
      <c r="G121" s="28"/>
      <c r="H121" s="28"/>
      <c r="I121" s="61"/>
      <c r="J121" s="62"/>
      <c r="K121" s="28"/>
      <c r="L121" s="62"/>
      <c r="M121" s="62"/>
      <c r="N121" s="62"/>
      <c r="O121" s="25"/>
      <c r="P121" s="25"/>
      <c r="Q121" s="23"/>
      <c r="R121" s="23"/>
      <c r="S121" s="23"/>
      <c r="T121" s="32"/>
    </row>
    <row r="122" spans="1:20" ht="19.5" customHeight="1">
      <c r="A122" s="34">
        <v>8</v>
      </c>
      <c r="B122" s="11" t="s">
        <v>364</v>
      </c>
      <c r="C122" s="36">
        <v>4</v>
      </c>
      <c r="D122" s="28"/>
      <c r="E122" s="28"/>
      <c r="F122" s="25"/>
      <c r="G122" s="28"/>
      <c r="H122" s="28"/>
      <c r="I122" s="61"/>
      <c r="J122" s="62"/>
      <c r="K122" s="28"/>
      <c r="L122" s="62"/>
      <c r="M122" s="62"/>
      <c r="N122" s="62"/>
      <c r="O122" s="25"/>
      <c r="P122" s="25"/>
      <c r="Q122" s="23"/>
      <c r="R122" s="23"/>
      <c r="S122" s="23"/>
      <c r="T122" s="32"/>
    </row>
    <row r="123" spans="1:20" ht="19.5" customHeight="1">
      <c r="A123" s="34">
        <v>9</v>
      </c>
      <c r="B123" s="11" t="s">
        <v>365</v>
      </c>
      <c r="C123" s="36"/>
      <c r="D123" s="28"/>
      <c r="E123" s="28"/>
      <c r="F123" s="25"/>
      <c r="G123" s="28"/>
      <c r="H123" s="28"/>
      <c r="I123" s="61"/>
      <c r="J123" s="62"/>
      <c r="K123" s="28"/>
      <c r="L123" s="62"/>
      <c r="M123" s="62"/>
      <c r="N123" s="62"/>
      <c r="O123" s="25"/>
      <c r="P123" s="25"/>
      <c r="Q123" s="23"/>
      <c r="R123" s="23"/>
      <c r="S123" s="23"/>
      <c r="T123" s="32"/>
    </row>
    <row r="124" spans="1:20" ht="19.5" customHeight="1">
      <c r="A124" s="34">
        <v>10</v>
      </c>
      <c r="B124" s="11" t="s">
        <v>366</v>
      </c>
      <c r="C124" s="36"/>
      <c r="D124" s="28"/>
      <c r="E124" s="28"/>
      <c r="F124" s="25">
        <v>3</v>
      </c>
      <c r="G124" s="28"/>
      <c r="H124" s="28"/>
      <c r="I124" s="61"/>
      <c r="J124" s="62"/>
      <c r="K124" s="23"/>
      <c r="L124" s="62"/>
      <c r="M124" s="62"/>
      <c r="N124" s="62"/>
      <c r="O124" s="25"/>
      <c r="P124" s="25"/>
      <c r="Q124" s="23"/>
      <c r="R124" s="23"/>
      <c r="S124" s="23"/>
      <c r="T124" s="32"/>
    </row>
    <row r="125" spans="1:20" ht="19.5" customHeight="1">
      <c r="A125" s="34">
        <v>11</v>
      </c>
      <c r="B125" s="11" t="s">
        <v>367</v>
      </c>
      <c r="C125" s="36"/>
      <c r="D125" s="28"/>
      <c r="E125" s="28"/>
      <c r="F125" s="25">
        <v>2</v>
      </c>
      <c r="G125" s="28"/>
      <c r="H125" s="28"/>
      <c r="I125" s="61"/>
      <c r="J125" s="62"/>
      <c r="K125" s="23"/>
      <c r="L125" s="62"/>
      <c r="M125" s="62"/>
      <c r="N125" s="62"/>
      <c r="O125" s="25"/>
      <c r="P125" s="25"/>
      <c r="Q125" s="23"/>
      <c r="R125" s="23"/>
      <c r="S125" s="23"/>
      <c r="T125" s="32"/>
    </row>
    <row r="126" spans="1:20" ht="19.5" customHeight="1">
      <c r="A126" s="34">
        <v>12</v>
      </c>
      <c r="B126" s="11" t="s">
        <v>368</v>
      </c>
      <c r="C126" s="36"/>
      <c r="D126" s="28"/>
      <c r="E126" s="28"/>
      <c r="F126" s="25"/>
      <c r="G126" s="28"/>
      <c r="H126" s="28"/>
      <c r="I126" s="61"/>
      <c r="J126" s="62"/>
      <c r="K126" s="28"/>
      <c r="L126" s="62"/>
      <c r="M126" s="62"/>
      <c r="N126" s="62"/>
      <c r="O126" s="25"/>
      <c r="P126" s="25"/>
      <c r="Q126" s="23"/>
      <c r="R126" s="23"/>
      <c r="S126" s="23"/>
      <c r="T126" s="32"/>
    </row>
    <row r="127" spans="1:20" ht="19.5" customHeight="1">
      <c r="A127" s="34">
        <v>13</v>
      </c>
      <c r="B127" s="11" t="s">
        <v>369</v>
      </c>
      <c r="C127" s="36"/>
      <c r="D127" s="28"/>
      <c r="E127" s="28"/>
      <c r="F127" s="25">
        <v>7</v>
      </c>
      <c r="G127" s="28"/>
      <c r="H127" s="28"/>
      <c r="I127" s="61"/>
      <c r="J127" s="62"/>
      <c r="K127" s="28"/>
      <c r="L127" s="62"/>
      <c r="M127" s="62"/>
      <c r="N127" s="62"/>
      <c r="O127" s="25"/>
      <c r="P127" s="25"/>
      <c r="Q127" s="23"/>
      <c r="R127" s="23"/>
      <c r="S127" s="23"/>
      <c r="T127" s="32"/>
    </row>
    <row r="128" spans="1:20" ht="19.5" customHeight="1">
      <c r="A128" s="34">
        <v>14</v>
      </c>
      <c r="B128" s="11" t="s">
        <v>370</v>
      </c>
      <c r="C128" s="36"/>
      <c r="D128" s="28"/>
      <c r="E128" s="28"/>
      <c r="F128" s="25">
        <v>4</v>
      </c>
      <c r="G128" s="28"/>
      <c r="H128" s="28"/>
      <c r="I128" s="61"/>
      <c r="J128" s="62"/>
      <c r="K128" s="28"/>
      <c r="L128" s="62"/>
      <c r="M128" s="62"/>
      <c r="N128" s="62"/>
      <c r="O128" s="25"/>
      <c r="P128" s="25"/>
      <c r="Q128" s="23"/>
      <c r="R128" s="23"/>
      <c r="S128" s="23"/>
      <c r="T128" s="32"/>
    </row>
    <row r="129" spans="1:22" ht="19.5" customHeight="1">
      <c r="A129" s="34">
        <v>15</v>
      </c>
      <c r="B129" s="11" t="s">
        <v>494</v>
      </c>
      <c r="C129" s="36" t="s">
        <v>495</v>
      </c>
      <c r="D129" s="28"/>
      <c r="E129" s="28"/>
      <c r="F129" s="25">
        <v>6</v>
      </c>
      <c r="G129" s="28"/>
      <c r="H129" s="28"/>
      <c r="I129" s="61"/>
      <c r="J129" s="62"/>
      <c r="K129" s="28"/>
      <c r="L129" s="62"/>
      <c r="M129" s="62"/>
      <c r="N129" s="62"/>
      <c r="O129" s="25"/>
      <c r="P129" s="25"/>
      <c r="Q129" s="23"/>
      <c r="R129" s="23"/>
      <c r="S129" s="23"/>
      <c r="T129" s="32"/>
    </row>
    <row r="130" spans="1:22" ht="19.5" customHeight="1">
      <c r="A130" s="63" t="s">
        <v>371</v>
      </c>
      <c r="B130" s="64"/>
      <c r="C130" s="65"/>
      <c r="D130" s="28"/>
      <c r="E130" s="28"/>
      <c r="F130" s="25"/>
      <c r="G130" s="28"/>
      <c r="H130" s="28"/>
      <c r="I130" s="61"/>
      <c r="J130" s="62"/>
      <c r="K130" s="28"/>
      <c r="L130" s="62"/>
      <c r="M130" s="62"/>
      <c r="N130" s="62"/>
      <c r="O130" s="25"/>
      <c r="P130" s="25"/>
      <c r="Q130" s="23"/>
      <c r="R130" s="23"/>
      <c r="S130" s="23"/>
      <c r="T130" s="32"/>
    </row>
    <row r="131" spans="1:22" ht="19.5" customHeight="1">
      <c r="A131" s="34">
        <v>1</v>
      </c>
      <c r="B131" s="11" t="s">
        <v>372</v>
      </c>
      <c r="C131" s="36"/>
      <c r="D131" s="28"/>
      <c r="E131" s="28"/>
      <c r="F131" s="25"/>
      <c r="G131" s="28"/>
      <c r="H131" s="28"/>
      <c r="I131" s="61"/>
      <c r="J131" s="62"/>
      <c r="K131" s="28"/>
      <c r="L131" s="62"/>
      <c r="M131" s="62"/>
      <c r="N131" s="62"/>
      <c r="O131" s="25"/>
      <c r="P131" s="25"/>
      <c r="Q131" s="23"/>
      <c r="R131" s="23"/>
      <c r="S131" s="23"/>
      <c r="T131" s="32"/>
    </row>
    <row r="132" spans="1:22" ht="19.5" customHeight="1">
      <c r="A132" s="34">
        <v>2</v>
      </c>
      <c r="B132" s="34" t="s">
        <v>373</v>
      </c>
      <c r="C132" s="12"/>
      <c r="D132" s="28"/>
      <c r="E132" s="28"/>
      <c r="F132" s="25"/>
      <c r="G132" s="28"/>
      <c r="H132" s="28"/>
      <c r="I132" s="61"/>
      <c r="J132" s="62"/>
      <c r="K132" s="23"/>
      <c r="L132" s="62"/>
      <c r="M132" s="62"/>
      <c r="N132" s="62"/>
      <c r="O132" s="25"/>
      <c r="P132" s="25"/>
      <c r="Q132" s="23"/>
      <c r="R132" s="23"/>
      <c r="S132" s="23"/>
      <c r="T132" s="32"/>
    </row>
    <row r="133" spans="1:22" ht="19.5" customHeight="1">
      <c r="A133" s="34">
        <v>3</v>
      </c>
      <c r="B133" s="11" t="s">
        <v>374</v>
      </c>
      <c r="C133" s="36"/>
      <c r="D133" s="28"/>
      <c r="E133" s="28">
        <v>16</v>
      </c>
      <c r="F133" s="25"/>
      <c r="G133" s="28"/>
      <c r="H133" s="28"/>
      <c r="I133" s="61"/>
      <c r="J133" s="62"/>
      <c r="K133" s="28"/>
      <c r="L133" s="62"/>
      <c r="M133" s="62"/>
      <c r="N133" s="62"/>
      <c r="O133" s="25"/>
      <c r="P133" s="25"/>
      <c r="Q133" s="23"/>
      <c r="R133" s="23"/>
      <c r="S133" s="23"/>
      <c r="T133" s="32"/>
    </row>
    <row r="134" spans="1:22" ht="19.5" customHeight="1">
      <c r="A134" s="34">
        <v>4</v>
      </c>
      <c r="B134" s="11" t="s">
        <v>375</v>
      </c>
      <c r="C134" s="36"/>
      <c r="D134" s="28"/>
      <c r="E134" s="28"/>
      <c r="F134" s="25">
        <v>13</v>
      </c>
      <c r="G134" s="28"/>
      <c r="H134" s="28"/>
      <c r="I134" s="61"/>
      <c r="J134" s="62"/>
      <c r="K134" s="28"/>
      <c r="L134" s="62"/>
      <c r="M134" s="62"/>
      <c r="N134" s="62"/>
      <c r="O134" s="25"/>
      <c r="P134" s="25"/>
      <c r="Q134" s="23"/>
      <c r="R134" s="23"/>
      <c r="S134" s="23"/>
      <c r="T134" s="32"/>
    </row>
    <row r="135" spans="1:22" ht="19.5" customHeight="1">
      <c r="A135" s="34">
        <v>5</v>
      </c>
      <c r="B135" s="34" t="s">
        <v>376</v>
      </c>
      <c r="C135" s="36"/>
      <c r="D135" s="28"/>
      <c r="E135" s="28"/>
      <c r="F135" s="25"/>
      <c r="G135" s="28"/>
      <c r="H135" s="28"/>
      <c r="I135" s="61"/>
      <c r="J135" s="62"/>
      <c r="K135" s="28"/>
      <c r="L135" s="62"/>
      <c r="M135" s="62"/>
      <c r="N135" s="62"/>
      <c r="O135" s="25"/>
      <c r="P135" s="25"/>
      <c r="Q135" s="23"/>
      <c r="R135" s="23"/>
      <c r="S135" s="23"/>
      <c r="T135" s="32"/>
    </row>
    <row r="136" spans="1:22" ht="19.5" customHeight="1">
      <c r="A136" s="34">
        <v>6</v>
      </c>
      <c r="B136" s="34" t="s">
        <v>377</v>
      </c>
      <c r="D136" s="28"/>
      <c r="E136" s="28"/>
      <c r="F136" s="25"/>
      <c r="G136" s="28"/>
      <c r="H136" s="28"/>
      <c r="I136" s="61"/>
      <c r="J136" s="16"/>
      <c r="K136" s="17"/>
      <c r="L136" s="16"/>
      <c r="M136" s="16"/>
      <c r="N136" s="16"/>
      <c r="O136" s="25"/>
      <c r="P136" s="25">
        <v>20</v>
      </c>
      <c r="Q136" s="23">
        <v>60</v>
      </c>
      <c r="R136" s="23"/>
      <c r="S136" s="23"/>
      <c r="T136" s="32"/>
    </row>
    <row r="137" spans="1:22" ht="19.5" customHeight="1">
      <c r="A137" s="34">
        <v>7</v>
      </c>
      <c r="B137" s="34" t="s">
        <v>378</v>
      </c>
      <c r="C137" s="36"/>
      <c r="D137" s="28"/>
      <c r="E137" s="28"/>
      <c r="F137" s="25"/>
      <c r="G137" s="28"/>
      <c r="H137" s="28"/>
      <c r="I137" s="61"/>
      <c r="J137" s="62"/>
      <c r="K137" s="23"/>
      <c r="L137" s="62"/>
      <c r="M137" s="62"/>
      <c r="N137" s="62"/>
      <c r="O137" s="25"/>
      <c r="P137" s="25">
        <v>35</v>
      </c>
      <c r="Q137" s="23">
        <v>5</v>
      </c>
      <c r="R137" s="23">
        <v>20</v>
      </c>
      <c r="S137" s="23"/>
      <c r="T137" s="32"/>
      <c r="U137" s="72"/>
    </row>
    <row r="138" spans="1:22" ht="19.5" customHeight="1">
      <c r="A138" s="34">
        <v>8</v>
      </c>
      <c r="B138" s="71" t="s">
        <v>379</v>
      </c>
      <c r="C138" s="12">
        <v>2</v>
      </c>
      <c r="D138" s="28"/>
      <c r="E138" s="28"/>
      <c r="F138" s="25"/>
      <c r="G138" s="28"/>
      <c r="H138" s="28"/>
      <c r="I138" s="61">
        <v>2</v>
      </c>
      <c r="J138" s="16">
        <f t="shared" ref="J138" si="22">I138*8</f>
        <v>16</v>
      </c>
      <c r="K138" s="17"/>
      <c r="L138" s="16"/>
      <c r="M138" s="16"/>
      <c r="N138" s="16">
        <f t="shared" ref="N138" si="23">M138+L138+J138</f>
        <v>16</v>
      </c>
      <c r="O138" s="25">
        <v>11</v>
      </c>
      <c r="P138" s="25"/>
      <c r="Q138" s="23"/>
      <c r="R138" s="23">
        <v>49</v>
      </c>
      <c r="S138" s="23"/>
      <c r="T138" s="32"/>
    </row>
    <row r="139" spans="1:22" ht="19.5" customHeight="1">
      <c r="A139" s="34">
        <v>9</v>
      </c>
      <c r="B139" s="34" t="s">
        <v>380</v>
      </c>
      <c r="C139" s="12"/>
      <c r="D139" s="28"/>
      <c r="E139" s="28"/>
      <c r="F139" s="25"/>
      <c r="G139" s="23"/>
      <c r="H139" s="23"/>
      <c r="I139" s="23"/>
      <c r="J139" s="62"/>
      <c r="K139" s="28"/>
      <c r="L139" s="62"/>
      <c r="M139" s="62"/>
      <c r="N139" s="62"/>
      <c r="O139" s="25">
        <v>2</v>
      </c>
      <c r="P139" s="25">
        <v>22</v>
      </c>
      <c r="Q139" s="23"/>
      <c r="R139" s="23"/>
      <c r="S139" s="23"/>
      <c r="T139" s="34"/>
      <c r="U139" s="72"/>
    </row>
    <row r="140" spans="1:22" ht="19.5" customHeight="1">
      <c r="A140" s="34">
        <v>10</v>
      </c>
      <c r="B140" s="11" t="s">
        <v>381</v>
      </c>
      <c r="C140" s="36">
        <v>3</v>
      </c>
      <c r="D140" s="28"/>
      <c r="E140" s="28"/>
      <c r="F140" s="25"/>
      <c r="G140" s="28"/>
      <c r="H140" s="28"/>
      <c r="I140" s="61"/>
      <c r="J140" s="62"/>
      <c r="K140" s="28"/>
      <c r="L140" s="62"/>
      <c r="M140" s="62"/>
      <c r="N140" s="62"/>
      <c r="O140" s="25"/>
      <c r="P140" s="25"/>
      <c r="Q140" s="23"/>
      <c r="R140" s="23"/>
      <c r="S140" s="23"/>
      <c r="T140" s="32"/>
    </row>
    <row r="141" spans="1:22" ht="19.5" customHeight="1">
      <c r="A141" s="34">
        <v>11</v>
      </c>
      <c r="B141" s="34" t="s">
        <v>382</v>
      </c>
      <c r="C141" s="12"/>
      <c r="D141" s="28"/>
      <c r="E141" s="28"/>
      <c r="F141" s="25">
        <v>1</v>
      </c>
      <c r="G141" s="61"/>
      <c r="H141" s="23"/>
      <c r="I141" s="25">
        <v>9</v>
      </c>
      <c r="J141" s="16">
        <f t="shared" ref="J141:J142" si="24">I141*8</f>
        <v>72</v>
      </c>
      <c r="K141" s="17"/>
      <c r="L141" s="16"/>
      <c r="M141" s="16"/>
      <c r="N141" s="16">
        <f t="shared" ref="N141:N142" si="25">M141+L141+J141</f>
        <v>72</v>
      </c>
      <c r="O141" s="25"/>
      <c r="P141" s="25">
        <v>16</v>
      </c>
      <c r="Q141" s="23"/>
      <c r="R141" s="23"/>
      <c r="S141" s="23"/>
      <c r="T141" s="34"/>
      <c r="U141" s="74"/>
      <c r="V141" s="72"/>
    </row>
    <row r="142" spans="1:22" ht="19.5" customHeight="1">
      <c r="A142" s="34">
        <v>12</v>
      </c>
      <c r="B142" s="71" t="s">
        <v>383</v>
      </c>
      <c r="C142" s="36" t="s">
        <v>521</v>
      </c>
      <c r="D142" s="28"/>
      <c r="E142" s="28"/>
      <c r="F142" s="25"/>
      <c r="G142" s="28"/>
      <c r="H142" s="28"/>
      <c r="I142" s="61">
        <v>13</v>
      </c>
      <c r="J142" s="16">
        <f t="shared" si="24"/>
        <v>104</v>
      </c>
      <c r="K142" s="28">
        <v>1</v>
      </c>
      <c r="L142" s="16">
        <f t="shared" ref="L142" si="26">K142*12</f>
        <v>12</v>
      </c>
      <c r="M142" s="16">
        <f t="shared" ref="M142" si="27">K142*4</f>
        <v>4</v>
      </c>
      <c r="N142" s="16">
        <f t="shared" si="25"/>
        <v>120</v>
      </c>
      <c r="O142" s="25"/>
      <c r="P142" s="25"/>
      <c r="Q142" s="23"/>
      <c r="R142" s="23"/>
      <c r="S142" s="23"/>
      <c r="T142" s="32"/>
    </row>
    <row r="143" spans="1:22" ht="19.5" customHeight="1">
      <c r="A143" s="34">
        <v>13</v>
      </c>
      <c r="B143" s="34" t="s">
        <v>384</v>
      </c>
      <c r="C143" s="12"/>
      <c r="D143" s="28"/>
      <c r="E143" s="28"/>
      <c r="F143" s="25"/>
      <c r="G143" s="28"/>
      <c r="H143" s="28"/>
      <c r="I143" s="61"/>
      <c r="J143" s="62"/>
      <c r="K143" s="28"/>
      <c r="L143" s="62"/>
      <c r="M143" s="62"/>
      <c r="N143" s="62"/>
      <c r="O143" s="25">
        <v>1</v>
      </c>
      <c r="P143" s="25">
        <v>35</v>
      </c>
      <c r="Q143" s="23"/>
      <c r="R143" s="23"/>
      <c r="S143" s="23"/>
      <c r="T143" s="32"/>
    </row>
    <row r="144" spans="1:22" ht="19.5" customHeight="1">
      <c r="A144" s="34">
        <v>14</v>
      </c>
      <c r="B144" s="34" t="s">
        <v>385</v>
      </c>
      <c r="C144" s="12"/>
      <c r="D144" s="28"/>
      <c r="E144" s="28"/>
      <c r="F144" s="25"/>
      <c r="G144" s="28"/>
      <c r="H144" s="28"/>
      <c r="I144" s="61"/>
      <c r="J144" s="62"/>
      <c r="K144" s="28"/>
      <c r="L144" s="62"/>
      <c r="M144" s="62"/>
      <c r="N144" s="62"/>
      <c r="O144" s="25"/>
      <c r="P144" s="25"/>
      <c r="Q144" s="23"/>
      <c r="R144" s="23"/>
      <c r="S144" s="23"/>
      <c r="T144" s="32"/>
    </row>
    <row r="145" spans="1:22" ht="19.5" customHeight="1">
      <c r="A145" s="34">
        <v>15</v>
      </c>
      <c r="B145" s="71" t="s">
        <v>386</v>
      </c>
      <c r="C145" s="12"/>
      <c r="D145" s="28"/>
      <c r="E145" s="28"/>
      <c r="F145" s="25">
        <v>8</v>
      </c>
      <c r="G145" s="28"/>
      <c r="H145" s="28"/>
      <c r="I145" s="61"/>
      <c r="J145" s="62"/>
      <c r="K145" s="28"/>
      <c r="L145" s="62"/>
      <c r="M145" s="62"/>
      <c r="N145" s="62"/>
      <c r="O145" s="25">
        <v>10.5</v>
      </c>
      <c r="P145" s="25">
        <v>6</v>
      </c>
      <c r="Q145" s="23"/>
      <c r="R145" s="23"/>
      <c r="S145" s="23"/>
      <c r="T145" s="32"/>
    </row>
    <row r="146" spans="1:22" ht="19.5" customHeight="1">
      <c r="A146" s="34">
        <v>16</v>
      </c>
      <c r="B146" s="34" t="s">
        <v>387</v>
      </c>
      <c r="C146" s="12"/>
      <c r="D146" s="28"/>
      <c r="E146" s="28"/>
      <c r="F146" s="25"/>
      <c r="G146" s="23"/>
      <c r="H146" s="23"/>
      <c r="I146" s="61"/>
      <c r="J146" s="62"/>
      <c r="K146" s="28"/>
      <c r="L146" s="62"/>
      <c r="M146" s="62"/>
      <c r="N146" s="62"/>
      <c r="O146" s="25"/>
      <c r="P146" s="25"/>
      <c r="Q146" s="23"/>
      <c r="R146" s="23"/>
      <c r="S146" s="23"/>
      <c r="T146" s="34"/>
      <c r="U146" s="74"/>
      <c r="V146" s="72"/>
    </row>
    <row r="147" spans="1:22" ht="19.5" customHeight="1">
      <c r="A147" s="34">
        <v>17</v>
      </c>
      <c r="B147" s="34" t="s">
        <v>388</v>
      </c>
      <c r="C147" s="12"/>
      <c r="D147" s="28"/>
      <c r="E147" s="28"/>
      <c r="F147" s="25"/>
      <c r="G147" s="23"/>
      <c r="H147" s="23"/>
      <c r="I147" s="23"/>
      <c r="J147" s="62"/>
      <c r="K147" s="28"/>
      <c r="L147" s="62"/>
      <c r="M147" s="62"/>
      <c r="N147" s="62"/>
      <c r="O147" s="25">
        <v>34</v>
      </c>
      <c r="P147" s="25"/>
      <c r="Q147" s="23">
        <v>20</v>
      </c>
      <c r="R147" s="23"/>
      <c r="S147" s="23"/>
      <c r="T147" s="34"/>
      <c r="U147" s="72"/>
    </row>
    <row r="148" spans="1:22" ht="19.5" customHeight="1">
      <c r="A148" s="34">
        <v>18</v>
      </c>
      <c r="B148" s="34" t="s">
        <v>389</v>
      </c>
      <c r="C148" s="12"/>
      <c r="D148" s="28"/>
      <c r="E148" s="28"/>
      <c r="F148" s="25">
        <v>12</v>
      </c>
      <c r="G148" s="23"/>
      <c r="H148" s="23"/>
      <c r="I148" s="23">
        <v>2</v>
      </c>
      <c r="J148" s="16">
        <f t="shared" ref="J148:J149" si="28">I148*8</f>
        <v>16</v>
      </c>
      <c r="K148" s="28">
        <v>2</v>
      </c>
      <c r="L148" s="16">
        <f t="shared" ref="L148" si="29">K148*12</f>
        <v>24</v>
      </c>
      <c r="M148" s="16">
        <f t="shared" ref="M148" si="30">K148*4</f>
        <v>8</v>
      </c>
      <c r="N148" s="16">
        <f t="shared" ref="N148:N149" si="31">M148+L148+J148</f>
        <v>48</v>
      </c>
      <c r="O148" s="25">
        <v>28</v>
      </c>
      <c r="P148" s="25"/>
      <c r="Q148" s="23">
        <v>20</v>
      </c>
      <c r="R148" s="23"/>
      <c r="S148" s="23"/>
      <c r="T148" s="34"/>
      <c r="U148" s="72"/>
    </row>
    <row r="149" spans="1:22" ht="19.5" customHeight="1">
      <c r="A149" s="34">
        <v>19</v>
      </c>
      <c r="B149" s="34" t="s">
        <v>390</v>
      </c>
      <c r="C149" s="12"/>
      <c r="D149" s="28"/>
      <c r="E149" s="28"/>
      <c r="F149" s="25"/>
      <c r="G149" s="28"/>
      <c r="H149" s="28"/>
      <c r="I149" s="61">
        <v>20</v>
      </c>
      <c r="J149" s="16">
        <f t="shared" si="28"/>
        <v>160</v>
      </c>
      <c r="K149" s="17">
        <v>13</v>
      </c>
      <c r="L149" s="16">
        <f t="shared" ref="L149" si="32">K149*12</f>
        <v>156</v>
      </c>
      <c r="M149" s="16">
        <f t="shared" ref="M149" si="33">K149*4</f>
        <v>52</v>
      </c>
      <c r="N149" s="16">
        <f t="shared" si="31"/>
        <v>368</v>
      </c>
      <c r="O149" s="25"/>
      <c r="P149" s="25">
        <v>29</v>
      </c>
      <c r="Q149" s="23">
        <v>49.5</v>
      </c>
      <c r="R149" s="23">
        <v>10</v>
      </c>
      <c r="S149" s="23"/>
      <c r="T149" s="32"/>
    </row>
    <row r="150" spans="1:22" ht="19.5" customHeight="1">
      <c r="A150" s="34">
        <v>20</v>
      </c>
      <c r="B150" s="34" t="s">
        <v>466</v>
      </c>
      <c r="C150" s="12"/>
      <c r="D150" s="28"/>
      <c r="E150" s="28"/>
      <c r="F150" s="25"/>
      <c r="G150" s="28"/>
      <c r="H150" s="28"/>
      <c r="I150" s="61"/>
      <c r="J150" s="62"/>
      <c r="K150" s="28"/>
      <c r="L150" s="62"/>
      <c r="M150" s="62"/>
      <c r="N150" s="62"/>
      <c r="O150" s="25">
        <v>4</v>
      </c>
      <c r="P150" s="25">
        <v>24</v>
      </c>
      <c r="Q150" s="23"/>
      <c r="R150" s="23"/>
      <c r="S150" s="23"/>
      <c r="T150" s="32"/>
    </row>
    <row r="151" spans="1:22" ht="19.5" customHeight="1">
      <c r="A151" s="63" t="s">
        <v>391</v>
      </c>
      <c r="B151" s="64"/>
      <c r="C151" s="65"/>
      <c r="D151" s="28"/>
      <c r="E151" s="28"/>
      <c r="F151" s="25"/>
      <c r="G151" s="28"/>
      <c r="H151" s="28"/>
      <c r="I151" s="61"/>
      <c r="J151" s="62"/>
      <c r="K151" s="28"/>
      <c r="L151" s="62"/>
      <c r="M151" s="62"/>
      <c r="N151" s="62"/>
      <c r="O151" s="25"/>
      <c r="P151" s="25"/>
      <c r="Q151" s="23"/>
      <c r="R151" s="23"/>
      <c r="S151" s="23"/>
      <c r="T151" s="32"/>
    </row>
    <row r="152" spans="1:22" ht="19.5" customHeight="1">
      <c r="A152" s="34">
        <v>1</v>
      </c>
      <c r="B152" s="34" t="s">
        <v>392</v>
      </c>
      <c r="C152" s="12"/>
      <c r="D152" s="28"/>
      <c r="E152" s="28"/>
      <c r="F152" s="25"/>
      <c r="G152" s="28"/>
      <c r="H152" s="28"/>
      <c r="I152" s="61">
        <v>2</v>
      </c>
      <c r="J152" s="16">
        <f t="shared" ref="J152" si="34">I152*8</f>
        <v>16</v>
      </c>
      <c r="K152" s="17"/>
      <c r="L152" s="16"/>
      <c r="M152" s="16"/>
      <c r="N152" s="16">
        <f t="shared" ref="N152:N153" si="35">M152+L152+J152</f>
        <v>16</v>
      </c>
      <c r="O152" s="25"/>
      <c r="P152" s="25">
        <v>27</v>
      </c>
      <c r="Q152" s="23">
        <v>57.5</v>
      </c>
      <c r="R152" s="23">
        <v>40</v>
      </c>
      <c r="S152" s="23"/>
      <c r="T152" s="32"/>
    </row>
    <row r="153" spans="1:22" ht="19.5" customHeight="1">
      <c r="A153" s="34">
        <v>2</v>
      </c>
      <c r="B153" s="34" t="s">
        <v>395</v>
      </c>
      <c r="C153" s="54"/>
      <c r="D153" s="28"/>
      <c r="E153" s="28"/>
      <c r="F153" s="25"/>
      <c r="G153" s="23"/>
      <c r="H153" s="28"/>
      <c r="I153" s="61">
        <v>4</v>
      </c>
      <c r="J153" s="62">
        <f t="shared" ref="J153:J158" si="36">I153*8</f>
        <v>32</v>
      </c>
      <c r="K153" s="23">
        <v>2</v>
      </c>
      <c r="L153" s="16">
        <f t="shared" ref="L153" si="37">K153*12</f>
        <v>24</v>
      </c>
      <c r="M153" s="16">
        <f t="shared" ref="M153" si="38">K153*4</f>
        <v>8</v>
      </c>
      <c r="N153" s="62">
        <f t="shared" si="35"/>
        <v>64</v>
      </c>
      <c r="O153" s="25"/>
      <c r="P153" s="25">
        <v>33</v>
      </c>
      <c r="Q153" s="23">
        <v>52</v>
      </c>
      <c r="R153" s="23">
        <v>40</v>
      </c>
      <c r="S153" s="23"/>
      <c r="T153" s="32"/>
    </row>
    <row r="154" spans="1:22" ht="19.5" customHeight="1">
      <c r="A154" s="34">
        <v>3</v>
      </c>
      <c r="B154" s="34" t="s">
        <v>396</v>
      </c>
      <c r="C154" s="54"/>
      <c r="D154" s="28"/>
      <c r="E154" s="23"/>
      <c r="F154" s="25"/>
      <c r="G154" s="61"/>
      <c r="H154" s="28"/>
      <c r="I154" s="61"/>
      <c r="J154" s="62"/>
      <c r="K154" s="23"/>
      <c r="L154" s="62"/>
      <c r="M154" s="62"/>
      <c r="N154" s="62"/>
      <c r="O154" s="25"/>
      <c r="P154" s="25">
        <v>34</v>
      </c>
      <c r="Q154" s="23"/>
      <c r="R154" s="23">
        <v>10</v>
      </c>
      <c r="S154" s="23"/>
      <c r="T154" s="32"/>
    </row>
    <row r="155" spans="1:22" ht="19.5" customHeight="1">
      <c r="A155" s="34">
        <v>4</v>
      </c>
      <c r="B155" s="34" t="s">
        <v>397</v>
      </c>
      <c r="C155" s="36"/>
      <c r="D155" s="23"/>
      <c r="E155" s="27"/>
      <c r="F155" s="25"/>
      <c r="G155" s="28"/>
      <c r="H155" s="28"/>
      <c r="I155" s="61">
        <v>13</v>
      </c>
      <c r="J155" s="62">
        <f t="shared" si="36"/>
        <v>104</v>
      </c>
      <c r="K155" s="23">
        <v>8</v>
      </c>
      <c r="L155" s="16">
        <f t="shared" ref="L155" si="39">K155*12</f>
        <v>96</v>
      </c>
      <c r="M155" s="16">
        <f t="shared" ref="L153:M155" si="40">K155*4</f>
        <v>32</v>
      </c>
      <c r="N155" s="62">
        <f t="shared" ref="N155:N158" si="41">M155+L155+J155</f>
        <v>232</v>
      </c>
      <c r="O155" s="25">
        <v>28</v>
      </c>
      <c r="P155" s="25"/>
      <c r="Q155" s="23"/>
      <c r="R155" s="23">
        <v>72</v>
      </c>
      <c r="S155" s="23"/>
      <c r="T155" s="32"/>
    </row>
    <row r="156" spans="1:22" ht="19.5" customHeight="1">
      <c r="A156" s="34">
        <v>5</v>
      </c>
      <c r="B156" s="34" t="s">
        <v>398</v>
      </c>
      <c r="C156" s="36"/>
      <c r="D156" s="23"/>
      <c r="E156" s="27"/>
      <c r="F156" s="25"/>
      <c r="G156" s="28"/>
      <c r="H156" s="28"/>
      <c r="I156" s="61">
        <v>2.5</v>
      </c>
      <c r="J156" s="62">
        <f t="shared" si="36"/>
        <v>20</v>
      </c>
      <c r="K156" s="23">
        <v>6</v>
      </c>
      <c r="L156" s="16">
        <f t="shared" ref="L156" si="42">K156*12</f>
        <v>72</v>
      </c>
      <c r="M156" s="16">
        <f t="shared" ref="M156" si="43">K156*4</f>
        <v>24</v>
      </c>
      <c r="N156" s="62">
        <f t="shared" si="41"/>
        <v>116</v>
      </c>
      <c r="O156" s="25"/>
      <c r="P156" s="25">
        <v>30</v>
      </c>
      <c r="Q156" s="23">
        <v>54</v>
      </c>
      <c r="R156" s="23">
        <v>40</v>
      </c>
      <c r="S156" s="23"/>
      <c r="T156" s="32"/>
    </row>
    <row r="157" spans="1:22" ht="19.5" customHeight="1">
      <c r="A157" s="34">
        <v>6</v>
      </c>
      <c r="B157" s="34" t="s">
        <v>399</v>
      </c>
      <c r="C157" s="36"/>
      <c r="D157" s="23"/>
      <c r="E157" s="27"/>
      <c r="F157" s="25"/>
      <c r="G157" s="28"/>
      <c r="H157" s="28"/>
      <c r="I157" s="61">
        <v>10</v>
      </c>
      <c r="J157" s="62">
        <f t="shared" si="36"/>
        <v>80</v>
      </c>
      <c r="K157" s="23"/>
      <c r="L157" s="16"/>
      <c r="M157" s="16"/>
      <c r="N157" s="62">
        <f t="shared" si="41"/>
        <v>80</v>
      </c>
      <c r="O157" s="25">
        <v>28</v>
      </c>
      <c r="P157" s="25"/>
      <c r="Q157" s="23"/>
      <c r="R157" s="23">
        <v>72</v>
      </c>
      <c r="S157" s="23"/>
      <c r="T157" s="32"/>
    </row>
    <row r="158" spans="1:22" ht="19.5" customHeight="1">
      <c r="A158" s="34">
        <v>7</v>
      </c>
      <c r="B158" s="34" t="s">
        <v>400</v>
      </c>
      <c r="C158" s="36"/>
      <c r="D158" s="23">
        <v>32</v>
      </c>
      <c r="E158" s="27"/>
      <c r="F158" s="25">
        <v>1.5</v>
      </c>
      <c r="G158" s="28"/>
      <c r="H158" s="28"/>
      <c r="I158" s="30">
        <v>1</v>
      </c>
      <c r="J158" s="62">
        <f t="shared" si="36"/>
        <v>8</v>
      </c>
      <c r="K158" s="17"/>
      <c r="L158" s="16"/>
      <c r="M158" s="16"/>
      <c r="N158" s="62">
        <f t="shared" si="41"/>
        <v>8</v>
      </c>
      <c r="O158" s="25"/>
      <c r="P158" s="25">
        <v>14.5</v>
      </c>
      <c r="Q158" s="23">
        <v>57</v>
      </c>
      <c r="R158" s="23"/>
      <c r="S158" s="23"/>
      <c r="T158" s="32"/>
    </row>
    <row r="159" spans="1:22" ht="19.5" customHeight="1">
      <c r="A159" s="63" t="s">
        <v>401</v>
      </c>
      <c r="B159" s="64"/>
      <c r="C159" s="65"/>
      <c r="D159" s="28"/>
      <c r="E159" s="28"/>
      <c r="F159" s="25"/>
      <c r="G159" s="28"/>
      <c r="H159" s="28"/>
      <c r="I159" s="61"/>
      <c r="J159" s="62"/>
      <c r="K159" s="28"/>
      <c r="L159" s="62"/>
      <c r="M159" s="62"/>
      <c r="N159" s="62"/>
      <c r="O159" s="25"/>
      <c r="P159" s="25"/>
      <c r="Q159" s="23"/>
      <c r="R159" s="23"/>
      <c r="S159" s="23"/>
      <c r="T159" s="32"/>
    </row>
    <row r="160" spans="1:22" ht="19.5" customHeight="1">
      <c r="A160" s="34">
        <v>1</v>
      </c>
      <c r="B160" s="34" t="s">
        <v>402</v>
      </c>
      <c r="C160" s="12"/>
      <c r="D160" s="28"/>
      <c r="E160" s="28"/>
      <c r="F160" s="25">
        <v>9</v>
      </c>
      <c r="G160" s="28"/>
      <c r="H160" s="28"/>
      <c r="I160" s="61">
        <v>2</v>
      </c>
      <c r="J160" s="62">
        <f>I160*8</f>
        <v>16</v>
      </c>
      <c r="K160" s="28"/>
      <c r="L160" s="16"/>
      <c r="M160" s="16"/>
      <c r="N160" s="62">
        <f>M160+L160+J160</f>
        <v>16</v>
      </c>
      <c r="O160" s="25"/>
      <c r="P160" s="25">
        <v>27</v>
      </c>
      <c r="Q160" s="23">
        <v>13</v>
      </c>
      <c r="R160" s="23">
        <v>20</v>
      </c>
      <c r="S160" s="23"/>
      <c r="T160" s="32"/>
    </row>
    <row r="161" spans="1:23" ht="19.5" customHeight="1">
      <c r="A161" s="34">
        <v>2</v>
      </c>
      <c r="B161" s="34" t="s">
        <v>403</v>
      </c>
      <c r="C161" s="12"/>
      <c r="D161" s="28"/>
      <c r="E161" s="28"/>
      <c r="F161" s="25"/>
      <c r="G161" s="28"/>
      <c r="H161" s="28"/>
      <c r="I161" s="61">
        <v>6</v>
      </c>
      <c r="J161" s="62">
        <f>I161*8</f>
        <v>48</v>
      </c>
      <c r="K161" s="28"/>
      <c r="L161" s="16"/>
      <c r="M161" s="16"/>
      <c r="N161" s="62">
        <f>M161+L161+J161</f>
        <v>48</v>
      </c>
      <c r="O161" s="25"/>
      <c r="P161" s="25">
        <v>30</v>
      </c>
      <c r="Q161" s="23">
        <v>52</v>
      </c>
      <c r="R161" s="23">
        <v>10</v>
      </c>
      <c r="S161" s="23"/>
      <c r="T161" s="32"/>
    </row>
    <row r="162" spans="1:23" ht="19.5" customHeight="1">
      <c r="A162" s="34">
        <v>3</v>
      </c>
      <c r="B162" s="34" t="s">
        <v>404</v>
      </c>
      <c r="C162" s="12"/>
      <c r="D162" s="28"/>
      <c r="E162" s="28"/>
      <c r="F162" s="25">
        <v>64</v>
      </c>
      <c r="G162" s="28"/>
      <c r="H162" s="28"/>
      <c r="I162" s="61">
        <v>1</v>
      </c>
      <c r="J162" s="62">
        <f>I162*8</f>
        <v>8</v>
      </c>
      <c r="K162" s="28"/>
      <c r="L162" s="16"/>
      <c r="M162" s="16"/>
      <c r="N162" s="62">
        <f>M162+L162+J162</f>
        <v>8</v>
      </c>
      <c r="O162" s="25"/>
      <c r="P162" s="25">
        <v>32</v>
      </c>
      <c r="Q162" s="23">
        <v>44</v>
      </c>
      <c r="R162" s="23"/>
      <c r="S162" s="23"/>
      <c r="T162" s="32"/>
    </row>
    <row r="163" spans="1:23" ht="19.5" customHeight="1">
      <c r="A163" s="34">
        <v>4</v>
      </c>
      <c r="B163" s="34" t="s">
        <v>405</v>
      </c>
      <c r="C163" s="36"/>
      <c r="D163" s="28"/>
      <c r="E163" s="28"/>
      <c r="F163" s="25"/>
      <c r="G163" s="28"/>
      <c r="H163" s="28"/>
      <c r="I163" s="61">
        <v>7.5</v>
      </c>
      <c r="J163" s="62">
        <f>I163*8</f>
        <v>60</v>
      </c>
      <c r="K163" s="28">
        <v>5</v>
      </c>
      <c r="L163" s="16">
        <f t="shared" ref="L163" si="44">K163*12</f>
        <v>60</v>
      </c>
      <c r="M163" s="16">
        <f t="shared" ref="M163" si="45">K163*4</f>
        <v>20</v>
      </c>
      <c r="N163" s="62">
        <f t="shared" ref="N163" si="46">M163+L163+J163</f>
        <v>140</v>
      </c>
      <c r="O163" s="25">
        <v>32</v>
      </c>
      <c r="P163" s="25"/>
      <c r="Q163" s="23"/>
      <c r="R163" s="23"/>
      <c r="S163" s="23"/>
      <c r="T163" s="32"/>
    </row>
    <row r="164" spans="1:23" ht="19.5" customHeight="1">
      <c r="A164" s="63" t="s">
        <v>406</v>
      </c>
      <c r="B164" s="64"/>
      <c r="C164" s="65"/>
      <c r="D164" s="28"/>
      <c r="E164" s="28"/>
      <c r="F164" s="25"/>
      <c r="G164" s="28"/>
      <c r="H164" s="28"/>
      <c r="I164" s="61"/>
      <c r="J164" s="62"/>
      <c r="K164" s="28"/>
      <c r="L164" s="62"/>
      <c r="M164" s="62"/>
      <c r="N164" s="62"/>
      <c r="O164" s="25"/>
      <c r="P164" s="25"/>
      <c r="Q164" s="23"/>
      <c r="R164" s="23"/>
      <c r="S164" s="23"/>
      <c r="T164" s="32"/>
      <c r="U164" s="74"/>
      <c r="V164" s="72"/>
    </row>
    <row r="165" spans="1:23" ht="19.5" customHeight="1">
      <c r="A165" s="34">
        <v>1</v>
      </c>
      <c r="B165" s="34" t="s">
        <v>407</v>
      </c>
      <c r="C165" s="12"/>
      <c r="D165" s="28"/>
      <c r="E165" s="28"/>
      <c r="F165" s="25"/>
      <c r="G165" s="28"/>
      <c r="H165" s="28"/>
      <c r="I165" s="61"/>
      <c r="J165" s="62"/>
      <c r="K165" s="23">
        <v>2</v>
      </c>
      <c r="L165" s="16">
        <f t="shared" ref="L165" si="47">K165*12</f>
        <v>24</v>
      </c>
      <c r="M165" s="16">
        <f t="shared" ref="M165" si="48">K165*4</f>
        <v>8</v>
      </c>
      <c r="N165" s="62">
        <f t="shared" ref="N165:N167" si="49">M165+L165+J165</f>
        <v>32</v>
      </c>
      <c r="O165" s="25"/>
      <c r="P165" s="25">
        <v>34</v>
      </c>
      <c r="Q165" s="23">
        <v>45</v>
      </c>
      <c r="R165" s="23">
        <v>20</v>
      </c>
      <c r="S165" s="23"/>
      <c r="T165" s="32"/>
    </row>
    <row r="166" spans="1:23" ht="19.5" customHeight="1">
      <c r="A166" s="34">
        <v>2</v>
      </c>
      <c r="B166" s="34" t="s">
        <v>408</v>
      </c>
      <c r="C166" s="12"/>
      <c r="D166" s="28">
        <v>56</v>
      </c>
      <c r="E166" s="28"/>
      <c r="F166" s="25"/>
      <c r="G166" s="28"/>
      <c r="H166" s="28"/>
      <c r="I166" s="61">
        <v>7.5</v>
      </c>
      <c r="J166" s="62">
        <f t="shared" ref="J165:J167" si="50">I166*8</f>
        <v>60</v>
      </c>
      <c r="K166" s="23">
        <v>3</v>
      </c>
      <c r="L166" s="16">
        <f t="shared" ref="L166" si="51">K166*12</f>
        <v>36</v>
      </c>
      <c r="M166" s="16">
        <f t="shared" ref="M166" si="52">K166*4</f>
        <v>12</v>
      </c>
      <c r="N166" s="62">
        <f t="shared" si="49"/>
        <v>108</v>
      </c>
      <c r="O166" s="25"/>
      <c r="P166" s="25"/>
      <c r="Q166" s="23"/>
      <c r="R166" s="23"/>
      <c r="S166" s="23"/>
      <c r="T166" s="32"/>
    </row>
    <row r="167" spans="1:23" ht="19.5" customHeight="1">
      <c r="A167" s="34">
        <v>3</v>
      </c>
      <c r="B167" s="34" t="s">
        <v>409</v>
      </c>
      <c r="C167" s="12"/>
      <c r="D167" s="28"/>
      <c r="E167" s="28"/>
      <c r="F167" s="25"/>
      <c r="G167" s="28"/>
      <c r="H167" s="28"/>
      <c r="I167" s="61">
        <v>1</v>
      </c>
      <c r="J167" s="62">
        <f t="shared" si="50"/>
        <v>8</v>
      </c>
      <c r="K167" s="23"/>
      <c r="L167" s="16"/>
      <c r="M167" s="16"/>
      <c r="N167" s="62">
        <f t="shared" si="49"/>
        <v>8</v>
      </c>
      <c r="O167" s="25"/>
      <c r="P167" s="25">
        <v>32</v>
      </c>
      <c r="Q167" s="23">
        <v>48</v>
      </c>
      <c r="R167" s="23">
        <v>40</v>
      </c>
      <c r="S167" s="23"/>
      <c r="T167" s="32"/>
    </row>
    <row r="168" spans="1:23" ht="19.5" customHeight="1">
      <c r="A168" s="34">
        <v>4</v>
      </c>
      <c r="B168" s="34" t="s">
        <v>410</v>
      </c>
      <c r="C168" s="12"/>
      <c r="D168" s="28"/>
      <c r="E168" s="28"/>
      <c r="F168" s="25"/>
      <c r="G168" s="28"/>
      <c r="H168" s="28"/>
      <c r="I168" s="61">
        <v>3</v>
      </c>
      <c r="J168" s="62">
        <f t="shared" ref="J168:J180" si="53">I168*8</f>
        <v>24</v>
      </c>
      <c r="K168" s="23"/>
      <c r="L168" s="16"/>
      <c r="M168" s="16"/>
      <c r="N168" s="62">
        <f t="shared" ref="N168:N180" si="54">M168+L168+J168</f>
        <v>24</v>
      </c>
      <c r="O168" s="25"/>
      <c r="P168" s="25">
        <v>32</v>
      </c>
      <c r="Q168" s="23">
        <v>48</v>
      </c>
      <c r="R168" s="23">
        <v>40</v>
      </c>
      <c r="S168" s="23"/>
      <c r="T168" s="32"/>
    </row>
    <row r="169" spans="1:23" ht="19.5" customHeight="1">
      <c r="A169" s="34">
        <v>5</v>
      </c>
      <c r="B169" s="34" t="s">
        <v>411</v>
      </c>
      <c r="C169" s="12"/>
      <c r="D169" s="28"/>
      <c r="E169" s="28"/>
      <c r="F169" s="25"/>
      <c r="G169" s="28"/>
      <c r="H169" s="28"/>
      <c r="I169" s="61">
        <v>3.5</v>
      </c>
      <c r="J169" s="62">
        <f t="shared" si="53"/>
        <v>28</v>
      </c>
      <c r="K169" s="23">
        <v>5</v>
      </c>
      <c r="L169" s="16">
        <f t="shared" ref="L169" si="55">K169*12</f>
        <v>60</v>
      </c>
      <c r="M169" s="16">
        <f t="shared" ref="M169" si="56">K169*4</f>
        <v>20</v>
      </c>
      <c r="N169" s="62">
        <f t="shared" si="54"/>
        <v>108</v>
      </c>
      <c r="O169" s="25"/>
      <c r="P169" s="25">
        <v>13</v>
      </c>
      <c r="Q169" s="23">
        <v>56</v>
      </c>
      <c r="R169" s="23"/>
      <c r="S169" s="23"/>
      <c r="T169" s="32"/>
    </row>
    <row r="170" spans="1:23" ht="19.5" customHeight="1">
      <c r="A170" s="34">
        <v>6</v>
      </c>
      <c r="B170" s="34" t="s">
        <v>412</v>
      </c>
      <c r="C170" s="12"/>
      <c r="D170" s="28"/>
      <c r="E170" s="28"/>
      <c r="F170" s="25">
        <v>2</v>
      </c>
      <c r="G170" s="28"/>
      <c r="H170" s="28"/>
      <c r="I170" s="61">
        <v>4</v>
      </c>
      <c r="J170" s="62">
        <f t="shared" si="53"/>
        <v>32</v>
      </c>
      <c r="K170" s="23"/>
      <c r="L170" s="16"/>
      <c r="M170" s="16"/>
      <c r="N170" s="62">
        <f t="shared" si="54"/>
        <v>32</v>
      </c>
      <c r="O170" s="25"/>
      <c r="P170" s="25">
        <v>30</v>
      </c>
      <c r="Q170" s="23">
        <v>52</v>
      </c>
      <c r="R170" s="23"/>
      <c r="S170" s="23"/>
      <c r="T170" s="32"/>
    </row>
    <row r="171" spans="1:23" ht="19.5" customHeight="1">
      <c r="A171" s="34">
        <v>7</v>
      </c>
      <c r="B171" s="34" t="s">
        <v>413</v>
      </c>
      <c r="C171" s="12"/>
      <c r="D171" s="28"/>
      <c r="E171" s="28"/>
      <c r="F171" s="25"/>
      <c r="G171" s="28"/>
      <c r="H171" s="28"/>
      <c r="I171" s="61"/>
      <c r="J171" s="62"/>
      <c r="K171" s="23"/>
      <c r="L171" s="16"/>
      <c r="M171" s="16"/>
      <c r="N171" s="62"/>
      <c r="O171" s="25">
        <v>24</v>
      </c>
      <c r="P171" s="25"/>
      <c r="Q171" s="23"/>
      <c r="R171" s="23"/>
      <c r="S171" s="23"/>
      <c r="T171" s="32"/>
    </row>
    <row r="172" spans="1:23" ht="19.5" customHeight="1">
      <c r="A172" s="34">
        <v>8</v>
      </c>
      <c r="B172" s="34" t="s">
        <v>414</v>
      </c>
      <c r="C172" s="12"/>
      <c r="D172" s="28"/>
      <c r="E172" s="28"/>
      <c r="F172" s="25"/>
      <c r="G172" s="28"/>
      <c r="H172" s="28"/>
      <c r="I172" s="61">
        <v>4</v>
      </c>
      <c r="J172" s="62">
        <f t="shared" si="53"/>
        <v>32</v>
      </c>
      <c r="K172" s="23"/>
      <c r="L172" s="16"/>
      <c r="M172" s="16"/>
      <c r="N172" s="62">
        <f t="shared" si="54"/>
        <v>32</v>
      </c>
      <c r="O172" s="25">
        <v>20</v>
      </c>
      <c r="P172" s="25"/>
      <c r="Q172" s="23"/>
      <c r="R172" s="23"/>
      <c r="S172" s="23"/>
      <c r="T172" s="32"/>
    </row>
    <row r="173" spans="1:23" ht="19.5" customHeight="1">
      <c r="A173" s="34">
        <v>9</v>
      </c>
      <c r="B173" s="34" t="s">
        <v>415</v>
      </c>
      <c r="C173" s="12"/>
      <c r="D173" s="28"/>
      <c r="E173" s="28"/>
      <c r="F173" s="25"/>
      <c r="G173" s="28"/>
      <c r="H173" s="28"/>
      <c r="I173" s="61">
        <v>10.5</v>
      </c>
      <c r="J173" s="62">
        <f t="shared" si="53"/>
        <v>84</v>
      </c>
      <c r="K173" s="23">
        <v>7</v>
      </c>
      <c r="L173" s="16">
        <f t="shared" ref="L173" si="57">K173*12</f>
        <v>84</v>
      </c>
      <c r="M173" s="16">
        <f t="shared" ref="M173" si="58">K173*4</f>
        <v>28</v>
      </c>
      <c r="N173" s="62">
        <f t="shared" si="54"/>
        <v>196</v>
      </c>
      <c r="O173" s="25"/>
      <c r="P173" s="25">
        <v>30</v>
      </c>
      <c r="Q173" s="23">
        <v>52</v>
      </c>
      <c r="R173" s="23">
        <v>10</v>
      </c>
      <c r="S173" s="23"/>
      <c r="T173" s="32"/>
    </row>
    <row r="174" spans="1:23" ht="19.5" customHeight="1">
      <c r="A174" s="34">
        <v>10</v>
      </c>
      <c r="B174" s="71" t="s">
        <v>416</v>
      </c>
      <c r="C174" s="12"/>
      <c r="D174" s="28"/>
      <c r="E174" s="28"/>
      <c r="F174" s="25"/>
      <c r="G174" s="28"/>
      <c r="H174" s="28"/>
      <c r="I174" s="61">
        <v>8</v>
      </c>
      <c r="J174" s="62">
        <f t="shared" si="53"/>
        <v>64</v>
      </c>
      <c r="K174" s="23">
        <v>9</v>
      </c>
      <c r="L174" s="16">
        <f t="shared" ref="L174" si="59">K174*12</f>
        <v>108</v>
      </c>
      <c r="M174" s="16">
        <f t="shared" ref="M174" si="60">K174*4</f>
        <v>36</v>
      </c>
      <c r="N174" s="62">
        <f t="shared" si="54"/>
        <v>208</v>
      </c>
      <c r="O174" s="25"/>
      <c r="P174" s="25">
        <v>36</v>
      </c>
      <c r="Q174" s="23">
        <v>60</v>
      </c>
      <c r="R174" s="23">
        <v>20</v>
      </c>
      <c r="S174" s="23"/>
      <c r="T174" s="32"/>
    </row>
    <row r="175" spans="1:23" ht="19.5" customHeight="1">
      <c r="A175" s="34">
        <v>11</v>
      </c>
      <c r="B175" s="71" t="s">
        <v>417</v>
      </c>
      <c r="C175" s="12"/>
      <c r="D175" s="28"/>
      <c r="E175" s="28"/>
      <c r="F175" s="25"/>
      <c r="G175" s="28"/>
      <c r="H175" s="28"/>
      <c r="I175" s="61">
        <v>8</v>
      </c>
      <c r="J175" s="62">
        <f t="shared" si="53"/>
        <v>64</v>
      </c>
      <c r="K175" s="23">
        <v>4</v>
      </c>
      <c r="L175" s="16">
        <f t="shared" ref="L175" si="61">K175*12</f>
        <v>48</v>
      </c>
      <c r="M175" s="16">
        <f t="shared" ref="M175" si="62">K175*4</f>
        <v>16</v>
      </c>
      <c r="N175" s="62">
        <f t="shared" si="54"/>
        <v>128</v>
      </c>
      <c r="O175" s="25"/>
      <c r="P175" s="25">
        <v>32</v>
      </c>
      <c r="Q175" s="23">
        <v>60</v>
      </c>
      <c r="R175" s="23">
        <v>20</v>
      </c>
      <c r="S175" s="23"/>
      <c r="T175" s="32"/>
    </row>
    <row r="176" spans="1:23" ht="19.5" customHeight="1">
      <c r="A176" s="34">
        <v>12</v>
      </c>
      <c r="B176" s="71" t="s">
        <v>418</v>
      </c>
      <c r="C176" s="12">
        <v>8</v>
      </c>
      <c r="D176" s="28"/>
      <c r="E176" s="28"/>
      <c r="F176" s="25"/>
      <c r="G176" s="28"/>
      <c r="H176" s="28"/>
      <c r="I176" s="25">
        <v>3</v>
      </c>
      <c r="J176" s="62">
        <f t="shared" si="53"/>
        <v>24</v>
      </c>
      <c r="K176" s="23">
        <v>4</v>
      </c>
      <c r="L176" s="16">
        <f t="shared" ref="L176:L177" si="63">K176*12</f>
        <v>48</v>
      </c>
      <c r="M176" s="16">
        <f t="shared" ref="M176:M177" si="64">K176*4</f>
        <v>16</v>
      </c>
      <c r="N176" s="62">
        <f t="shared" si="54"/>
        <v>88</v>
      </c>
      <c r="O176" s="25">
        <v>3</v>
      </c>
      <c r="P176" s="25"/>
      <c r="Q176" s="23"/>
      <c r="R176" s="23"/>
      <c r="S176" s="23"/>
      <c r="T176" s="32"/>
      <c r="W176" s="1" t="s">
        <v>419</v>
      </c>
    </row>
    <row r="177" spans="1:21" ht="19.5" customHeight="1">
      <c r="A177" s="34">
        <v>13</v>
      </c>
      <c r="B177" s="71" t="s">
        <v>420</v>
      </c>
      <c r="C177" s="12">
        <v>4</v>
      </c>
      <c r="D177" s="28"/>
      <c r="E177" s="28"/>
      <c r="F177" s="25"/>
      <c r="G177" s="28"/>
      <c r="H177" s="28"/>
      <c r="I177" s="25">
        <v>1</v>
      </c>
      <c r="J177" s="62">
        <f t="shared" si="53"/>
        <v>8</v>
      </c>
      <c r="K177" s="23">
        <v>2</v>
      </c>
      <c r="L177" s="16">
        <f t="shared" si="63"/>
        <v>24</v>
      </c>
      <c r="M177" s="16">
        <f t="shared" si="64"/>
        <v>8</v>
      </c>
      <c r="N177" s="62">
        <f t="shared" si="54"/>
        <v>40</v>
      </c>
      <c r="O177" s="25"/>
      <c r="P177" s="25">
        <v>33</v>
      </c>
      <c r="Q177" s="23">
        <v>44</v>
      </c>
      <c r="R177" s="23">
        <v>10</v>
      </c>
      <c r="S177" s="23"/>
      <c r="T177" s="32"/>
    </row>
    <row r="178" spans="1:21" ht="19.5" customHeight="1">
      <c r="A178" s="34">
        <v>14</v>
      </c>
      <c r="B178" s="71" t="s">
        <v>421</v>
      </c>
      <c r="C178" s="12"/>
      <c r="D178" s="28"/>
      <c r="E178" s="28"/>
      <c r="F178" s="25"/>
      <c r="G178" s="28"/>
      <c r="H178" s="28"/>
      <c r="I178" s="25">
        <v>10</v>
      </c>
      <c r="J178" s="62">
        <f t="shared" si="53"/>
        <v>80</v>
      </c>
      <c r="K178" s="23"/>
      <c r="L178" s="16"/>
      <c r="M178" s="16"/>
      <c r="N178" s="62">
        <f t="shared" si="54"/>
        <v>80</v>
      </c>
      <c r="O178" s="25"/>
      <c r="P178" s="25"/>
      <c r="Q178" s="23"/>
      <c r="R178" s="23"/>
      <c r="S178" s="23"/>
      <c r="T178" s="32"/>
    </row>
    <row r="179" spans="1:21" ht="19.5" customHeight="1">
      <c r="A179" s="34">
        <v>15</v>
      </c>
      <c r="B179" s="34" t="s">
        <v>422</v>
      </c>
      <c r="C179" s="12"/>
      <c r="D179" s="28"/>
      <c r="E179" s="28"/>
      <c r="F179" s="25"/>
      <c r="G179" s="23"/>
      <c r="H179" s="23"/>
      <c r="I179" s="25">
        <v>1.5</v>
      </c>
      <c r="J179" s="62">
        <f t="shared" si="53"/>
        <v>12</v>
      </c>
      <c r="K179" s="23">
        <v>1</v>
      </c>
      <c r="L179" s="16">
        <f t="shared" ref="L179:L180" si="65">K179*12</f>
        <v>12</v>
      </c>
      <c r="M179" s="16">
        <f t="shared" ref="M179:M180" si="66">K179*4</f>
        <v>4</v>
      </c>
      <c r="N179" s="62">
        <f t="shared" si="54"/>
        <v>28</v>
      </c>
      <c r="O179" s="25"/>
      <c r="P179" s="25"/>
      <c r="Q179" s="23"/>
      <c r="R179" s="23"/>
      <c r="S179" s="23"/>
      <c r="T179" s="34"/>
      <c r="U179" s="72"/>
    </row>
    <row r="180" spans="1:21" ht="19.5" customHeight="1">
      <c r="A180" s="34">
        <v>16</v>
      </c>
      <c r="B180" s="34" t="s">
        <v>423</v>
      </c>
      <c r="C180" s="12"/>
      <c r="D180" s="28"/>
      <c r="E180" s="28"/>
      <c r="F180" s="25"/>
      <c r="G180" s="23"/>
      <c r="H180" s="23"/>
      <c r="I180" s="25">
        <v>2</v>
      </c>
      <c r="J180" s="62">
        <f t="shared" si="53"/>
        <v>16</v>
      </c>
      <c r="K180" s="23">
        <v>2</v>
      </c>
      <c r="L180" s="16">
        <f t="shared" si="65"/>
        <v>24</v>
      </c>
      <c r="M180" s="16">
        <f t="shared" si="66"/>
        <v>8</v>
      </c>
      <c r="N180" s="62">
        <f t="shared" si="54"/>
        <v>48</v>
      </c>
      <c r="O180" s="25"/>
      <c r="P180" s="25">
        <v>33</v>
      </c>
      <c r="Q180" s="23">
        <v>57</v>
      </c>
      <c r="R180" s="23">
        <v>30</v>
      </c>
      <c r="S180" s="23"/>
      <c r="T180" s="34"/>
      <c r="U180" s="72"/>
    </row>
    <row r="181" spans="1:21" ht="19.5" customHeight="1">
      <c r="A181" s="63" t="s">
        <v>424</v>
      </c>
      <c r="B181" s="64"/>
      <c r="C181" s="65"/>
      <c r="D181" s="28"/>
      <c r="E181" s="28"/>
      <c r="F181" s="25"/>
      <c r="G181" s="28"/>
      <c r="H181" s="28"/>
      <c r="I181" s="25"/>
      <c r="J181" s="62"/>
      <c r="K181" s="23"/>
      <c r="L181" s="62"/>
      <c r="M181" s="62"/>
      <c r="N181" s="62"/>
      <c r="O181" s="25"/>
      <c r="P181" s="25"/>
      <c r="Q181" s="23"/>
      <c r="R181" s="23"/>
      <c r="S181" s="23"/>
      <c r="T181" s="32"/>
    </row>
    <row r="182" spans="1:21" ht="19.5" customHeight="1">
      <c r="I182" s="75"/>
    </row>
    <row r="185" spans="1:21" ht="19.5" customHeight="1">
      <c r="O185" s="75"/>
      <c r="P185" s="75"/>
      <c r="Q185" s="69"/>
      <c r="R185" s="69"/>
    </row>
  </sheetData>
  <mergeCells count="1">
    <mergeCell ref="A1:U1"/>
  </mergeCells>
  <phoneticPr fontId="2" type="noConversion"/>
  <conditionalFormatting sqref="B1">
    <cfRule type="duplicateValues" dxfId="5" priority="5"/>
  </conditionalFormatting>
  <conditionalFormatting sqref="B52">
    <cfRule type="duplicateValues" dxfId="4" priority="4" stopIfTrue="1"/>
  </conditionalFormatting>
  <conditionalFormatting sqref="B1:B1048576">
    <cfRule type="duplicateValues" dxfId="3" priority="2"/>
    <cfRule type="duplicateValues" dxfId="2" priority="3"/>
  </conditionalFormatting>
  <conditionalFormatting sqref="C48 C42 B2:B65531">
    <cfRule type="duplicateValues" dxfId="1" priority="23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20-1(派遣）</vt:lpstr>
      <vt:lpstr>20-1（机电）</vt:lpstr>
      <vt:lpstr>20-2（派遣）</vt:lpstr>
      <vt:lpstr>20-2(机电）</vt:lpstr>
      <vt:lpstr>20-3(派遣）</vt:lpstr>
      <vt:lpstr>20-3（机电）</vt:lpstr>
      <vt:lpstr>20-4（派遣）</vt:lpstr>
      <vt:lpstr>20-4（机电）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liliangchen</dc:creator>
  <cp:lastModifiedBy>liliangchen</cp:lastModifiedBy>
  <dcterms:created xsi:type="dcterms:W3CDTF">2020-02-21T08:01:21Z</dcterms:created>
  <dcterms:modified xsi:type="dcterms:W3CDTF">2020-05-20T08:07:50Z</dcterms:modified>
</cp:coreProperties>
</file>